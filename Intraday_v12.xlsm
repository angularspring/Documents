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nav\Desktop\"/>
    </mc:Choice>
  </mc:AlternateContent>
  <xr:revisionPtr revIDLastSave="0" documentId="13_ncr:1_{7AB5A3A4-AC8F-4520-B8C0-04D8C527F1B8}" xr6:coauthVersionLast="45" xr6:coauthVersionMax="45" xr10:uidLastSave="{00000000-0000-0000-0000-000000000000}"/>
  <bookViews>
    <workbookView xWindow="-108" yWindow="-108" windowWidth="23256" windowHeight="13176" tabRatio="487" activeTab="1" xr2:uid="{0F88F462-BE8E-4E96-94DE-94BCA5FADF4D}"/>
  </bookViews>
  <sheets>
    <sheet name="Nifty" sheetId="37" r:id="rId1"/>
    <sheet name="BankNifty" sheetId="35" r:id="rId2"/>
    <sheet name="Intraday" sheetId="1" r:id="rId3"/>
    <sheet name="Returns" sheetId="26" r:id="rId4"/>
    <sheet name="Master" sheetId="27" r:id="rId5"/>
    <sheet name="Ref" sheetId="31" r:id="rId6"/>
  </sheets>
  <definedNames>
    <definedName name="Date">#REF!</definedName>
    <definedName name="Expiry_">BankNifty!#REF!</definedName>
    <definedName name="ExternalData_1" localSheetId="1" hidden="1">BankNifty!$A$3:$J$16</definedName>
    <definedName name="ExternalData_1" localSheetId="2" hidden="1">Intraday!#REF!</definedName>
    <definedName name="ExternalData_1" localSheetId="0" hidden="1">Nifty!$A$3:$I$53</definedName>
    <definedName name="ExternalData_10" localSheetId="2" hidden="1">Intraday!$A$2:$D$20</definedName>
    <definedName name="ExternalData_11" localSheetId="2" hidden="1">Intraday!$A$22:$C$35</definedName>
    <definedName name="ExternalData_12" localSheetId="2" hidden="1">Intraday!$F$2:$M$24</definedName>
    <definedName name="ExternalData_13" localSheetId="2" hidden="1">Intraday!$O$2:$W$149</definedName>
    <definedName name="ExternalData_2" localSheetId="1" hidden="1">BankNifty!#REF!</definedName>
    <definedName name="ExternalData_2" localSheetId="2" hidden="1">Intraday!#REF!</definedName>
    <definedName name="ExternalData_3" localSheetId="2" hidden="1">Intraday!#REF!</definedName>
    <definedName name="ExternalData_4" localSheetId="2" hidden="1">Intraday!#REF!</definedName>
    <definedName name="ExternalData_5" localSheetId="2" hidden="1">Intraday!#REF!</definedName>
    <definedName name="ExternalData_7" localSheetId="3" hidden="1">Returns!$A$1:$K$151</definedName>
    <definedName name="ExternalData_8" localSheetId="2" hidden="1">Intraday!#REF!</definedName>
    <definedName name="Forpast_">BankNifty!#REF!</definedName>
    <definedName name="Index_">Intraday!$D$1</definedName>
    <definedName name="Instrument">#REF!</definedName>
    <definedName name="Instrument_">BankNifty!#REF!</definedName>
    <definedName name="Link_">BankNifty!#REF!</definedName>
    <definedName name="OILink_">#REF!</definedName>
    <definedName name="OptionType_">BankNifty!#REF!</definedName>
    <definedName name="Query___Nifty50Gainers" localSheetId="2" hidden="1">Intraday!#REF!</definedName>
    <definedName name="Query___Nifty50Losers" localSheetId="2" hidden="1">Intraday!#REF!</definedName>
    <definedName name="Query___Nitfy_Indices" localSheetId="2" hidden="1">Intraday!#REF!</definedName>
    <definedName name="Script">#REF!</definedName>
    <definedName name="StrikePrice_">BankNifty!#REF!</definedName>
    <definedName name="Symbol">#REF!</definedName>
    <definedName name="Symbol_">BankNifty!#REF!</definedName>
    <definedName name="time">Intraday!$C$1</definedName>
    <definedName name="Year_">BankNifty!#REF!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35" l="1"/>
  <c r="J2" i="37" l="1"/>
  <c r="H2" i="37"/>
  <c r="E2" i="37"/>
  <c r="V1" i="1" l="1"/>
  <c r="S1" i="1"/>
  <c r="D1" i="1" l="1"/>
  <c r="C1" i="1"/>
  <c r="F2" i="35" l="1"/>
  <c r="D2" i="3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6370FE3-861D-413D-9486-83BA73745C78}" keepAlive="1" name="Query - bankNiftyFinal" description="Connection to the 'bankNiftyFinal' query in the workbook." type="5" refreshedVersion="6" background="1" saveData="1">
    <dbPr connection="Provider=Microsoft.Mashup.OleDb.1;Data Source=$Workbook$;Location=bankNiftyFinal;Extended Properties=&quot;&quot;" command="SELECT * FROM [bankNiftyFinal]"/>
  </connection>
  <connection id="2" xr16:uid="{B35EF67D-0FA2-44A6-9050-D9F81F14E221}" keepAlive="1" name="Query - bankNiftyIndex" description="Connection to the 'bankNiftyIndex' query in the workbook." type="5" refreshedVersion="6" background="1" saveData="1">
    <dbPr connection="Provider=Microsoft.Mashup.OleDb.1;Data Source=$Workbook$;Location=bankNiftyIndex;Extended Properties=&quot;&quot;" command="SELECT * FROM [bankNiftyIndex]"/>
  </connection>
  <connection id="3" xr16:uid="{91BC0B56-7DF2-4232-AC1A-4AA052C5D46E}" keepAlive="1" name="Query - bankNiftyStocks" description="Connection to the 'bankNiftyStocks' query in the workbook." type="5" refreshedVersion="6" background="1" saveData="1">
    <dbPr connection="Provider=Microsoft.Mashup.OleDb.1;Data Source=$Workbook$;Location=bankNiftyStocks;Extended Properties=&quot;&quot;" command="SELECT * FROM [bankNiftyStocks]"/>
  </connection>
  <connection id="4" xr16:uid="{45749F65-23E2-4DC4-9D56-78AB91EF3182}" keepAlive="1" name="Query - bankNiftyStockWatch" description="Connection to the 'bankNiftyStockWatch' query in the workbook." type="5" refreshedVersion="6" background="1">
    <dbPr connection="Provider=Microsoft.Mashup.OleDb.1;Data Source=$Workbook$;Location=bankNiftyStockWatch;Extended Properties=&quot;&quot;" command="SELECT * FROM [bankNiftyStockWatch]"/>
  </connection>
  <connection id="5" xr16:uid="{D646A9BA-DB05-4D2F-8871-A5501C6F8983}" keepAlive="1" name="Query - F&amp;OHistoricFinalReport" description="Connection to the 'F&amp;OHistoricFinalReport' query in the workbook." type="5" refreshedVersion="6" background="1" saveData="1">
    <dbPr connection="Provider=Microsoft.Mashup.OleDb.1;Data Source=$Workbook$;Location=F&amp;OHistoricFinalReport;Extended Properties=&quot;&quot;" command="SELECT * FROM [F&amp;OHistoricFinalReport]"/>
  </connection>
  <connection id="6" xr16:uid="{D02159D4-5D4E-4DFC-8D28-7541F21894A2}" keepAlive="1" name="Query - F&amp;OHistoricReport" description="Connection to the 'F&amp;OHistoricReport' query in the workbook." type="5" refreshedVersion="6" background="1">
    <dbPr connection="Provider=Microsoft.Mashup.OleDb.1;Data Source=$Workbook$;Location=F&amp;OHistoricReport;Extended Properties=&quot;&quot;" command="SELECT * FROM [F&amp;OHistoricReport]"/>
  </connection>
  <connection id="7" xr16:uid="{1160E097-4460-46DC-A4C0-2294FFAAE3F0}" keepAlive="1" name="Query - F&amp;OList" description="Connection to the 'F&amp;OList' query in the workbook." type="5" refreshedVersion="0" background="1">
    <dbPr connection="Provider=Microsoft.Mashup.OleDb.1;Data Source=$Workbook$;Location=F&amp;OList;Extended Properties=&quot;&quot;" command="SELECT * FROM [F&amp;OList]"/>
  </connection>
  <connection id="8" xr16:uid="{7A7DC264-2958-44FA-B881-13D08A41F56A}" odcFile="C:\Users\e3013467\Desktop\HistoricData\Query - FNOHistoricGainer.odc" keepAlive="1" name="Query - FNOHistoricGainer" description="Connection to the 'FNOHistoricGainer' query in the workbook." type="5" refreshedVersion="0" new="1" background="1">
    <dbPr connection="Provider=Microsoft.Mashup.OleDb.1;Data Source=$Workbook$;Location=FNOHistoricGainer;Extended Properties=&quot;&quot;" command="SELECT * FROM [FNOHistoricGainer]"/>
  </connection>
  <connection id="9" xr16:uid="{9F69B884-38BD-4103-BADC-CFC57FF3DB63}" odcFile="C:\Users\e3013467\Desktop\HistoricData\Query - FNOHistoricLoser.odc" keepAlive="1" name="Query - FNOHistoricLoser" description="Connection to the 'FNOHistoricLoser' query in the workbook." type="5" refreshedVersion="0" new="1" background="1">
    <dbPr connection="Provider=Microsoft.Mashup.OleDb.1;Data Source=$Workbook$;Location=FNOHistoricLoser;Extended Properties=&quot;&quot;" command="SELECT * FROM [FNOHistoricLoser]"/>
  </connection>
  <connection id="10" xr16:uid="{B73274E0-9CB0-45E8-B914-44FE3DDD9F8E}" keepAlive="1" name="Query - FNOStocksTopGainersInFifteenDays" description="Connection to the 'FNOStocksTopGainersInFifteenDays' query in the workbook." type="5" refreshedVersion="0" background="1">
    <dbPr connection="Provider=Microsoft.Mashup.OleDb.1;Data Source=$Workbook$;Location=FNOStocksTopGainersInFifteenDays;Extended Properties=&quot;&quot;" command="SELECT * FROM [FNOStocksTopGainersInFifteenDays]"/>
  </connection>
  <connection id="11" xr16:uid="{2710D573-834C-4055-94A8-62D56F67EB5C}" keepAlive="1" name="Query - FNOStocksTopGainersInFiveDays" description="Connection to the 'FNOStocksTopGainersInFiveDays' query in the workbook." type="5" refreshedVersion="0" background="1">
    <dbPr connection="Provider=Microsoft.Mashup.OleDb.1;Data Source=$Workbook$;Location=FNOStocksTopGainersInFiveDays;Extended Properties=&quot;&quot;" command="SELECT * FROM [FNOStocksTopGainersInFiveDays]"/>
  </connection>
  <connection id="12" xr16:uid="{44E8151C-4BA7-4A60-B308-DB9A4E42F39B}" keepAlive="1" name="Query - FNOStocksTopGainersInOneMonth" description="Connection to the 'FNOStocksTopGainersInOneMonth' query in the workbook." type="5" refreshedVersion="0" background="1">
    <dbPr connection="Provider=Microsoft.Mashup.OleDb.1;Data Source=$Workbook$;Location=FNOStocksTopGainersInOneMonth;Extended Properties=&quot;&quot;" command="SELECT * FROM [FNOStocksTopGainersInOneMonth]"/>
  </connection>
  <connection id="13" xr16:uid="{518D134A-F313-4E67-B384-765E75FF8035}" keepAlive="1" name="Query - FNOStocksTopGainersInTenDays" description="Connection to the 'FNOStocksTopGainersInTenDays' query in the workbook." type="5" refreshedVersion="0" background="1">
    <dbPr connection="Provider=Microsoft.Mashup.OleDb.1;Data Source=$Workbook$;Location=FNOStocksTopGainersInTenDays;Extended Properties=&quot;&quot;" command="SELECT * FROM [FNOStocksTopGainersInTenDays]"/>
  </connection>
  <connection id="14" xr16:uid="{E5EE1794-ACB2-4C33-BDD4-EC795449E82A}" keepAlive="1" name="Query - FNOStocksTopLoosersInFifteenDays" description="Connection to the 'FNOStocksTopLoosersInFifteenDays' query in the workbook." type="5" refreshedVersion="0" background="1">
    <dbPr connection="Provider=Microsoft.Mashup.OleDb.1;Data Source=$Workbook$;Location=FNOStocksTopLoosersInFifteenDays;Extended Properties=&quot;&quot;" command="SELECT * FROM [FNOStocksTopLoosersInFifteenDays]"/>
  </connection>
  <connection id="15" xr16:uid="{77CA21F9-814C-4FDC-9E7F-8B1BDF05BC34}" keepAlive="1" name="Query - FNOStocksTopLoosersInFiveDays" description="Connection to the 'FNOStocksTopLoosersInFiveDays' query in the workbook." type="5" refreshedVersion="0" background="1">
    <dbPr connection="Provider=Microsoft.Mashup.OleDb.1;Data Source=$Workbook$;Location=FNOStocksTopLoosersInFiveDays;Extended Properties=&quot;&quot;" command="SELECT * FROM [FNOStocksTopLoosersInFiveDays]"/>
  </connection>
  <connection id="16" xr16:uid="{903380EA-C8B9-4141-BF83-A974F69C61F1}" keepAlive="1" name="Query - FNOStocksTopLoosersInOneMonth" description="Connection to the 'FNOStocksTopLoosersInOneMonth' query in the workbook." type="5" refreshedVersion="0" background="1">
    <dbPr connection="Provider=Microsoft.Mashup.OleDb.1;Data Source=$Workbook$;Location=FNOStocksTopLoosersInOneMonth;Extended Properties=&quot;&quot;" command="SELECT * FROM [FNOStocksTopLoosersInOneMonth]"/>
  </connection>
  <connection id="17" xr16:uid="{FF33A933-C26E-4A9A-9148-3F8B5230C014}" keepAlive="1" name="Query - FNOStocksTopLoosersInTenDays" description="Connection to the 'FNOStocksTopLoosersInTenDays' query in the workbook." type="5" refreshedVersion="0" background="1">
    <dbPr connection="Provider=Microsoft.Mashup.OleDb.1;Data Source=$Workbook$;Location=FNOStocksTopLoosersInTenDays;Extended Properties=&quot;&quot;" command="SELECT * FROM [FNOStocksTopLoosersInTenDays]"/>
  </connection>
  <connection id="18" xr16:uid="{54938EE9-88E4-4131-BCF9-C0C74169EAE6}" keepAlive="1" name="Query - foSecStockList" description="Connection to the 'foSecStockList' query in the workbook." type="5" refreshedVersion="6" background="1" saveData="1">
    <dbPr connection="Provider=Microsoft.Mashup.OleDb.1;Data Source=$Workbook$;Location=foSecStockList;Extended Properties=&quot;&quot;" command="SELECT * FROM [foSecStockList]"/>
  </connection>
  <connection id="19" xr16:uid="{5B25EE15-7145-4B64-B0B5-34D930E7E26F}" odcFile="C:\Users\e3013467\Desktop\Query - foSecStockWatch.odc" keepAlive="1" name="Query - foSecStockWatch" description="Connection to the 'foSecStockWatch' query in the workbook." type="5" refreshedVersion="6" background="1" saveData="1">
    <dbPr connection="Provider=Microsoft.Mashup.OleDb.1;Data Source=$Workbook$;Location=foSecStockWatch;Extended Properties=&quot;&quot;" command="SELECT * FROM [foSecStockWatch]"/>
  </connection>
  <connection id="20" xr16:uid="{761897CA-7D07-446F-BE9C-4E2AB779403D}" keepAlive="1" interval="5" name="Query - foSecStockWatch_" description="Connection to the 'foSecStockWatch_' query in the workbook." type="5" refreshedVersion="6" background="1" saveData="1">
    <dbPr connection="Provider=Microsoft.Mashup.OleDb.1;Data Source=$Workbook$;Location=foSecStockWatch_;Extended Properties=&quot;&quot;" command="SELECT * FROM [foSecStockWatch_]"/>
  </connection>
  <connection id="21" xr16:uid="{2C5F7035-0314-44E3-8B3C-222B0D4050B0}" keepAlive="1" name="Query - foSecStockWatchGainers" description="Connection to the 'foSecStockWatchGainers' query in the workbook." type="5" refreshedVersion="6" background="1" saveData="1">
    <dbPr connection="Provider=Microsoft.Mashup.OleDb.1;Data Source=$Workbook$;Location=foSecStockWatchGainers;Extended Properties=&quot;&quot;" command="SELECT * FROM [foSecStockWatchGainers]"/>
  </connection>
  <connection id="22" xr16:uid="{078FF833-4464-4C46-9B61-3C91A6F0D9E0}" keepAlive="1" name="Query - foSecStockWatchLosers" description="Connection to the 'foSecStockWatchLosers' query in the workbook." type="5" refreshedVersion="6" background="1" saveData="1">
    <dbPr connection="Provider=Microsoft.Mashup.OleDb.1;Data Source=$Workbook$;Location=foSecStockWatchLosers;Extended Properties=&quot;&quot;" command="SELECT * FROM [foSecStockWatchLosers]"/>
  </connection>
  <connection id="23" xr16:uid="{2247066D-29E1-43DD-8025-8E68D7BBA594}" odcFile="C:\Users\e3013467\Desktop\Query - getHistoricData.odc" keepAlive="1" name="Query - getHistoricData" description="Connection to the 'getHistoricData' query in the workbook." type="5" refreshedVersion="0" background="1">
    <dbPr connection="Provider=Microsoft.Mashup.OleDb.1;Data Source=$Workbook$;Location=getHistoricData;Extended Properties=&quot;&quot;" command="SELECT * FROM [getHistoricData]"/>
  </connection>
  <connection id="24" xr16:uid="{A4584E63-0757-43B8-910A-018437846776}" keepAlive="1" name="Query - getWatchListData" description="Connection to the 'getWatchListData' query in the workbook." type="5" refreshedVersion="6" background="1" saveData="1">
    <dbPr connection="Provider=Microsoft.Mashup.OleDb.1;Data Source=$Workbook$;Location=getWatchListData;Extended Properties=&quot;&quot;" command="SELECT * FROM [getWatchListData]"/>
  </connection>
  <connection id="25" xr16:uid="{34FF7A5D-E2D6-4B26-A595-2D774A1D9296}" keepAlive="1" interval="15" name="Query - HourlyFinal" description="Connection to the 'HourlyFinal' query in the workbook." type="5" refreshedVersion="6" background="1" saveData="1">
    <dbPr connection="Provider=Microsoft.Mashup.OleDb.1;Data Source=$Workbook$;Location=HourlyFinal;Extended Properties=&quot;&quot;" command="SELECT * FROM [HourlyFinal]"/>
    <extLst>
      <ext xmlns:x15="http://schemas.microsoft.com/office/spreadsheetml/2010/11/main" uri="{DE250136-89BD-433C-8126-D09CA5730AF9}">
        <x15:connection id="" excludeFromRefreshAll="1"/>
      </ext>
    </extLst>
  </connection>
  <connection id="26" xr16:uid="{93FADB55-E990-4AE1-A070-427FEE6B56F4}" keepAlive="1" name="Query - Hourlygainers_" description="Connection to the 'Hourlygainers_' query in the workbook." type="5" refreshedVersion="6" background="1" saveData="1">
    <dbPr connection="Provider=Microsoft.Mashup.OleDb.1;Data Source=$Workbook$;Location=Hourlygainers_;Extended Properties=&quot;&quot;" command="SELECT * FROM [Hourlygainers_]"/>
    <extLst>
      <ext xmlns:x15="http://schemas.microsoft.com/office/spreadsheetml/2010/11/main" uri="{DE250136-89BD-433C-8126-D09CA5730AF9}">
        <x15:connection id="" excludeFromRefreshAll="1"/>
      </ext>
    </extLst>
  </connection>
  <connection id="27" xr16:uid="{CD73E751-9101-4FCD-B478-A12C907F26F7}" keepAlive="1" name="Query - Hourlylosers_" description="Connection to the 'Hourlylosers_' query in the workbook." type="5" refreshedVersion="0" background="1" saveData="1">
    <dbPr connection="Provider=Microsoft.Mashup.OleDb.1;Data Source=$Workbook$;Location=Hourlylosers_;Extended Properties=&quot;&quot;" command="SELECT * FROM [Hourlylosers_]"/>
    <extLst>
      <ext xmlns:x15="http://schemas.microsoft.com/office/spreadsheetml/2010/11/main" uri="{DE250136-89BD-433C-8126-D09CA5730AF9}">
        <x15:connection id="" excludeFromRefreshAll="1"/>
      </ext>
    </extLst>
  </connection>
  <connection id="28" xr16:uid="{74886A06-A06D-49D5-A9FB-E92644D841E5}" keepAlive="1" name="Query - Index_" description="Connection to the 'Index_' query in the workbook." type="5" refreshedVersion="0" background="1">
    <dbPr connection="Provider=Microsoft.Mashup.OleDb.1;Data Source=$Workbook$;Location=Index_;Extended Properties=&quot;&quot;" command="SELECT * FROM [Index_]"/>
  </connection>
  <connection id="29" xr16:uid="{B83E7931-1A8F-409A-B75B-4B5FF889B429}" keepAlive="1" name="Query - Link_" description="Connection to the 'Link_' query in the workbook." type="5" refreshedVersion="0" background="1" saveData="1">
    <dbPr connection="Provider=Microsoft.Mashup.OleDb.1;Data Source=$Workbook$;Location=Link_;Extended Properties=&quot;&quot;" command="SELECT * FROM [Link_]"/>
  </connection>
  <connection id="30" xr16:uid="{EC3DD394-1CA4-415F-9C6A-32A1A909138A}" keepAlive="1" name="Query - Nifty500Final" description="Connection to the 'Nifty500Final' query in the workbook." type="5" refreshedVersion="6" background="1" saveData="1">
    <dbPr connection="Provider=Microsoft.Mashup.OleDb.1;Data Source=$Workbook$;Location=Nifty500Final;Extended Properties=&quot;&quot;" command="SELECT * FROM [Nifty500Final]"/>
    <extLst>
      <ext xmlns:x15="http://schemas.microsoft.com/office/spreadsheetml/2010/11/main" uri="{DE250136-89BD-433C-8126-D09CA5730AF9}">
        <x15:connection id="" excludeFromRefreshAll="1"/>
      </ext>
    </extLst>
  </connection>
  <connection id="31" xr16:uid="{B7DF120B-F036-4179-A2D3-79A5AFA80844}" keepAlive="1" name="Query - nifty50StockWatch" description="Connection to the 'nifty50StockWatch' query in the workbook." type="5" refreshedVersion="6" background="1" saveData="1">
    <dbPr connection="Provider=Microsoft.Mashup.OleDb.1;Data Source=$Workbook$;Location=nifty50StockWatch;Extended Properties=&quot;&quot;" command="SELECT * FROM [nifty50StockWatch]"/>
  </connection>
  <connection id="32" xr16:uid="{5B964F2E-935E-440C-8E35-41233783C884}" keepAlive="1" name="Query - niftyStockWatch" description="Connection to the 'niftyStockWatch' query in the workbook." type="5" refreshedVersion="6" background="1">
    <dbPr connection="Provider=Microsoft.Mashup.OleDb.1;Data Source=$Workbook$;Location=niftyStockWatch;Extended Properties=&quot;&quot;" command="SELECT * FROM [niftyStockWatch]"/>
  </connection>
  <connection id="33" xr16:uid="{86207B4C-4501-44C4-9316-5BB941EED6DE}" odcFile="C:\Users\e3013467\Documents\My Data Sources\Query - Nitfy_Indices.odc" keepAlive="1" interval="15" name="Query - Nitfy_Indices" description="Connection to the 'Nitfy_Indices' query in the workbook." type="5" refreshedVersion="6" background="1" saveData="1">
    <dbPr connection="Provider=Microsoft.Mashup.OleDb.1;Data Source=$Workbook$;Location=Nitfy_Indices;Extended Properties=&quot;&quot;" command="SELECT * FROM [Nitfy_Indices]"/>
  </connection>
  <connection id="34" xr16:uid="{F852650B-B388-49BD-BFC6-183C74EF713A}" keepAlive="1" name="Query - OIData" description="Connection to the 'OIData' query in the workbook." type="5" refreshedVersion="6" background="1" saveData="1">
    <dbPr connection="Provider=Microsoft.Mashup.OleDb.1;Data Source=$Workbook$;Location=OIData;Extended Properties=&quot;&quot;" command="SELECT * FROM [OIData]"/>
  </connection>
  <connection id="35" xr16:uid="{81BA1A70-89BB-477E-8193-0E478EE4F3CD}" keepAlive="1" name="Query - OILink_" description="Connection to the 'OILink_' query in the workbook." type="5" refreshedVersion="0" background="1">
    <dbPr connection="Provider=Microsoft.Mashup.OleDb.1;Data Source=$Workbook$;Location=OILink_;Extended Properties=&quot;&quot;" command="SELECT * FROM [OILink_]"/>
  </connection>
  <connection id="36" xr16:uid="{F37780B2-5D7B-4DD8-9C39-E68FD6C9F618}" keepAlive="1" name="Query - strikePriceData" description="Connection to the 'strikePriceData' query in the workbook." type="5" refreshedVersion="6" background="1" saveData="1">
    <dbPr connection="Provider=Microsoft.Mashup.OleDb.1;Data Source=$Workbook$;Location=strikePriceData;Extended Properties=&quot;&quot;" command="SELECT * FROM [strikePriceData]"/>
  </connection>
  <connection id="37" xr16:uid="{FF079012-AA20-4934-9C5E-80B9407D6A34}" odcFile="C:\Users\e3013467\Desktop\Query - time.odc" keepAlive="1" name="Query - time" description="Connection to the 'time' query in the workbook." type="5" refreshedVersion="0" new="1" background="1" saveData="1">
    <dbPr connection="Provider=Microsoft.Mashup.OleDb.1;Data Source=$Workbook$;Location=time;Extended Properties=&quot;&quot;" command="SELECT * FROM [time]"/>
    <extLst>
      <ext xmlns:x15="http://schemas.microsoft.com/office/spreadsheetml/2010/11/main" uri="{DE250136-89BD-433C-8126-D09CA5730AF9}">
        <x15:connection id="" excludeFromRefreshAll="1"/>
      </ext>
    </extLst>
  </connection>
  <connection id="38" xr16:uid="{A3D52171-F059-4C5F-9497-A91E9718DA8D}" keepAlive="1" name="Query - TopGainers500" description="Connection to the 'TopGainers500' query in the workbook." type="5" refreshedVersion="6" background="1" saveData="1">
    <dbPr connection="Provider=Microsoft.Mashup.OleDb.1;Data Source=$Workbook$;Location=TopGainers500;Extended Properties=&quot;&quot;" command="SELECT * FROM [TopGainers500]"/>
  </connection>
  <connection id="39" xr16:uid="{72C445D0-DA50-4A45-AD05-068488DC47C9}" keepAlive="1" name="Query - TopLosers500" description="Connection to the 'TopLosers500' query in the workbook." type="5" refreshedVersion="6" background="1" saveData="1">
    <dbPr connection="Provider=Microsoft.Mashup.OleDb.1;Data Source=$Workbook$;Location=TopLosers500;Extended Properties=&quot;&quot;" command="SELECT * FROM [TopLosers500]"/>
  </connection>
</connections>
</file>

<file path=xl/sharedStrings.xml><?xml version="1.0" encoding="utf-8"?>
<sst xmlns="http://schemas.openxmlformats.org/spreadsheetml/2006/main" count="643" uniqueCount="308">
  <si>
    <t>Symbol</t>
  </si>
  <si>
    <t>Open</t>
  </si>
  <si>
    <t>High</t>
  </si>
  <si>
    <t>Low</t>
  </si>
  <si>
    <t>LTP</t>
  </si>
  <si>
    <t>PtsC</t>
  </si>
  <si>
    <t>Per</t>
  </si>
  <si>
    <t>TrdVolM</t>
  </si>
  <si>
    <t>TATAMTRDVR</t>
  </si>
  <si>
    <t>TATAMOTORS</t>
  </si>
  <si>
    <t>HINDALCO</t>
  </si>
  <si>
    <t>HEXAWARE</t>
  </si>
  <si>
    <t>DISHTV</t>
  </si>
  <si>
    <t>MRF</t>
  </si>
  <si>
    <t>CHOLAFIN</t>
  </si>
  <si>
    <t>LUPIN</t>
  </si>
  <si>
    <t>ICICIPRULI</t>
  </si>
  <si>
    <t>APOLLOHOSP</t>
  </si>
  <si>
    <t>BHARTIARTL</t>
  </si>
  <si>
    <t>PAGEIND</t>
  </si>
  <si>
    <t>MOTHERSUMI</t>
  </si>
  <si>
    <t>BANKBARODA</t>
  </si>
  <si>
    <t>WIPRO</t>
  </si>
  <si>
    <t>BEL</t>
  </si>
  <si>
    <t>TORNTPOWER</t>
  </si>
  <si>
    <t>MARUTI</t>
  </si>
  <si>
    <t>TATASTEEL</t>
  </si>
  <si>
    <t>SAIL</t>
  </si>
  <si>
    <t>ADANIENT</t>
  </si>
  <si>
    <t>NATIONALUM</t>
  </si>
  <si>
    <t>VEDL</t>
  </si>
  <si>
    <t>RELIANCE</t>
  </si>
  <si>
    <t>HCLTECH</t>
  </si>
  <si>
    <t>TATAGLOBAL</t>
  </si>
  <si>
    <t>GAIL</t>
  </si>
  <si>
    <t>TVSMOTOR</t>
  </si>
  <si>
    <t>LT</t>
  </si>
  <si>
    <t>BAJAJFINSV</t>
  </si>
  <si>
    <t>PNB</t>
  </si>
  <si>
    <t>TCS</t>
  </si>
  <si>
    <t>BIOCON</t>
  </si>
  <si>
    <t>DIVISLAB</t>
  </si>
  <si>
    <t>BERGEPAINT</t>
  </si>
  <si>
    <t>INFY</t>
  </si>
  <si>
    <t>BHEL</t>
  </si>
  <si>
    <t>JINDALSTEL</t>
  </si>
  <si>
    <t>MFSL</t>
  </si>
  <si>
    <t>CONCOR</t>
  </si>
  <si>
    <t>TECHM</t>
  </si>
  <si>
    <t>APOLLOTYRE</t>
  </si>
  <si>
    <t>AUROPHARMA</t>
  </si>
  <si>
    <t>JUBLFOOD</t>
  </si>
  <si>
    <t>LICHSGFIN</t>
  </si>
  <si>
    <t>ADANIPORTS</t>
  </si>
  <si>
    <t>UBL</t>
  </si>
  <si>
    <t>GLENMARK</t>
  </si>
  <si>
    <t>NBCC</t>
  </si>
  <si>
    <t>IDFCFIRSTB</t>
  </si>
  <si>
    <t>ULTRACEMCO</t>
  </si>
  <si>
    <t>DRREDDY</t>
  </si>
  <si>
    <t>NIITTECH</t>
  </si>
  <si>
    <t>TATAPOWER</t>
  </si>
  <si>
    <t>HAVELLS</t>
  </si>
  <si>
    <t>NMDC</t>
  </si>
  <si>
    <t>CANBK</t>
  </si>
  <si>
    <t>UNIONBANK</t>
  </si>
  <si>
    <t>NTPC</t>
  </si>
  <si>
    <t>YESBANK</t>
  </si>
  <si>
    <t>IGL</t>
  </si>
  <si>
    <t>PIDILITIND</t>
  </si>
  <si>
    <t>SIEMENS</t>
  </si>
  <si>
    <t>CUMMINSIND</t>
  </si>
  <si>
    <t>KOTAKBANK</t>
  </si>
  <si>
    <t>SUNPHARMA</t>
  </si>
  <si>
    <t>CASTROLIND</t>
  </si>
  <si>
    <t>SBIN</t>
  </si>
  <si>
    <t>M&amp;MFIN</t>
  </si>
  <si>
    <t>MARICO</t>
  </si>
  <si>
    <t>BAJAJ-AUTO</t>
  </si>
  <si>
    <t>MINDTREE</t>
  </si>
  <si>
    <t>INFRATEL</t>
  </si>
  <si>
    <t>HEROMOTOCO</t>
  </si>
  <si>
    <t>SHREECEM</t>
  </si>
  <si>
    <t>ITC</t>
  </si>
  <si>
    <t>ASIANPAINT</t>
  </si>
  <si>
    <t>PVR</t>
  </si>
  <si>
    <t>JUSTDIAL</t>
  </si>
  <si>
    <t>AMARAJABAT</t>
  </si>
  <si>
    <t>SUNTV</t>
  </si>
  <si>
    <t>ADANIPOWER</t>
  </si>
  <si>
    <t>MUTHOOTFIN</t>
  </si>
  <si>
    <t>COALINDIA</t>
  </si>
  <si>
    <t>COLPAL</t>
  </si>
  <si>
    <t>RBLBANK</t>
  </si>
  <si>
    <t>CIPLA</t>
  </si>
  <si>
    <t>HINDPETRO</t>
  </si>
  <si>
    <t>TATAELXSI</t>
  </si>
  <si>
    <t>HDFCBANK</t>
  </si>
  <si>
    <t>INDIGO</t>
  </si>
  <si>
    <t>GRASIM</t>
  </si>
  <si>
    <t>L&amp;TFH</t>
  </si>
  <si>
    <t>CESC</t>
  </si>
  <si>
    <t>NESTLEIND</t>
  </si>
  <si>
    <t>BHARATFORG</t>
  </si>
  <si>
    <t>CADILAHC</t>
  </si>
  <si>
    <t>MANAPPURAM</t>
  </si>
  <si>
    <t>BALKRISIND</t>
  </si>
  <si>
    <t>TATACHEM</t>
  </si>
  <si>
    <t>ICICIBANK</t>
  </si>
  <si>
    <t>ASHOKLEY</t>
  </si>
  <si>
    <t>MCDOWELL-N</t>
  </si>
  <si>
    <t>HDFC</t>
  </si>
  <si>
    <t>UJJIVAN</t>
  </si>
  <si>
    <t>HINDUNILVR</t>
  </si>
  <si>
    <t>BAJFINANCE</t>
  </si>
  <si>
    <t>GMRINFRA</t>
  </si>
  <si>
    <t>GODREJCP</t>
  </si>
  <si>
    <t>VOLTAS</t>
  </si>
  <si>
    <t>ACC</t>
  </si>
  <si>
    <t>POWERGRID</t>
  </si>
  <si>
    <t>CENTURYTEX</t>
  </si>
  <si>
    <t>BRITANNIA</t>
  </si>
  <si>
    <t>OIL</t>
  </si>
  <si>
    <t>EQUITAS</t>
  </si>
  <si>
    <t>PETRONET</t>
  </si>
  <si>
    <t>BATAINDIA</t>
  </si>
  <si>
    <t>BPCL</t>
  </si>
  <si>
    <t>EXIDEIND</t>
  </si>
  <si>
    <t>M&amp;M</t>
  </si>
  <si>
    <t>TITAN</t>
  </si>
  <si>
    <t>AXISBANK</t>
  </si>
  <si>
    <t>DABUR</t>
  </si>
  <si>
    <t>IBULHSGFIN</t>
  </si>
  <si>
    <t>SRF</t>
  </si>
  <si>
    <t>INDUSINDBK</t>
  </si>
  <si>
    <t>IDEA</t>
  </si>
  <si>
    <t>IOC</t>
  </si>
  <si>
    <t>TORNTPHARM</t>
  </si>
  <si>
    <t>EICHERMOT</t>
  </si>
  <si>
    <t>UPL</t>
  </si>
  <si>
    <t>MGL</t>
  </si>
  <si>
    <t>ESCORTS</t>
  </si>
  <si>
    <t>PFC</t>
  </si>
  <si>
    <t>ZEEL</t>
  </si>
  <si>
    <t>SRTRANSFIN</t>
  </si>
  <si>
    <t>DLF</t>
  </si>
  <si>
    <t>RECLTD</t>
  </si>
  <si>
    <t>%Rejct</t>
  </si>
  <si>
    <t>%Change</t>
  </si>
  <si>
    <t>Volume(M)</t>
  </si>
  <si>
    <t>NIFTY BANK</t>
  </si>
  <si>
    <t>NIFTY 50</t>
  </si>
  <si>
    <t>JSWSTEEL</t>
  </si>
  <si>
    <t>AMBUJACEM</t>
  </si>
  <si>
    <t>BOSCHLTD</t>
  </si>
  <si>
    <t>FEDERALBNK</t>
  </si>
  <si>
    <t>ONGC</t>
  </si>
  <si>
    <t>NCC</t>
  </si>
  <si>
    <t>%Reject</t>
  </si>
  <si>
    <t>RAMCOCEM</t>
  </si>
  <si>
    <t>PEL</t>
  </si>
  <si>
    <t xml:space="preserve"> </t>
  </si>
  <si>
    <t>%Chng</t>
  </si>
  <si>
    <t>Expiry</t>
  </si>
  <si>
    <t>-</t>
  </si>
  <si>
    <t>Trend</t>
  </si>
  <si>
    <t>5D</t>
  </si>
  <si>
    <t>10D</t>
  </si>
  <si>
    <t>15D</t>
  </si>
  <si>
    <t>30D</t>
  </si>
  <si>
    <t>5DL</t>
  </si>
  <si>
    <t>10DL</t>
  </si>
  <si>
    <t>15DL</t>
  </si>
  <si>
    <t>30DL</t>
  </si>
  <si>
    <t>NIFTY</t>
  </si>
  <si>
    <t>BANKNIFTY</t>
  </si>
  <si>
    <t>1D</t>
  </si>
  <si>
    <t>26SEP2019</t>
  </si>
  <si>
    <t>26DEC2019</t>
  </si>
  <si>
    <t>26MAR2020</t>
  </si>
  <si>
    <t>25JUN2020</t>
  </si>
  <si>
    <t>31DEC2020</t>
  </si>
  <si>
    <t>24JUN2021</t>
  </si>
  <si>
    <t>30DEC2021</t>
  </si>
  <si>
    <t>30JUN2022</t>
  </si>
  <si>
    <t>29DEC2022</t>
  </si>
  <si>
    <t>29JUN2023</t>
  </si>
  <si>
    <t>28DEC2023</t>
  </si>
  <si>
    <t>Time</t>
  </si>
  <si>
    <t>Value</t>
  </si>
  <si>
    <t>Index</t>
  </si>
  <si>
    <t>Code</t>
  </si>
  <si>
    <t>Current Hour</t>
  </si>
  <si>
    <t>NIFTY50</t>
  </si>
  <si>
    <t>&amp;index=2369</t>
  </si>
  <si>
    <t>09:00-10:00</t>
  </si>
  <si>
    <t>&amp;starttime=09-00&amp;endtime=10-00</t>
  </si>
  <si>
    <t>NIFTY100</t>
  </si>
  <si>
    <t>&amp;index=2510</t>
  </si>
  <si>
    <t>10:00-11:00</t>
  </si>
  <si>
    <t>&amp;starttime=10-00&amp;endtime=11-00</t>
  </si>
  <si>
    <t>NIFTY200</t>
  </si>
  <si>
    <t>&amp;index=13602</t>
  </si>
  <si>
    <t>11:00-12:00</t>
  </si>
  <si>
    <t>&amp;starttime=11-00&amp;endtime=12-00</t>
  </si>
  <si>
    <t>NIFTY500</t>
  </si>
  <si>
    <t>&amp;index=2371</t>
  </si>
  <si>
    <t>12:00-13:00</t>
  </si>
  <si>
    <t>&amp;starttime=12-00&amp;endtime=13-00</t>
  </si>
  <si>
    <t>NIFTYBANK</t>
  </si>
  <si>
    <t>&amp;index=1913%2C15270%2C13026</t>
  </si>
  <si>
    <t>13:00-14:00</t>
  </si>
  <si>
    <t>&amp;starttime=13-00&amp;endtime=14-00</t>
  </si>
  <si>
    <t>NIFTYIT</t>
  </si>
  <si>
    <t>&amp;index=186</t>
  </si>
  <si>
    <t>14:00-15:00</t>
  </si>
  <si>
    <t>&amp;starttime=14-00&amp;endtime=15-00</t>
  </si>
  <si>
    <t>NIFTYAUTO</t>
  </si>
  <si>
    <t>&amp;index=13603</t>
  </si>
  <si>
    <t>15:00-16:00</t>
  </si>
  <si>
    <t>&amp;starttime=15-00&amp;endtime=16-00</t>
  </si>
  <si>
    <t>NIFTYPHARMA</t>
  </si>
  <si>
    <t>&amp;index=13017</t>
  </si>
  <si>
    <t>NIFTYFMCG</t>
  </si>
  <si>
    <t>&amp;index=13027</t>
  </si>
  <si>
    <t>NIFTYENERGY</t>
  </si>
  <si>
    <t>&amp;index=13016</t>
  </si>
  <si>
    <t>NIFTYMEDIA</t>
  </si>
  <si>
    <t>&amp;index=13604</t>
  </si>
  <si>
    <t>NIFTYFINSERVICE</t>
  </si>
  <si>
    <t>&amp;index=13655</t>
  </si>
  <si>
    <t>NIFTYMETAL</t>
  </si>
  <si>
    <t>&amp;index=13605</t>
  </si>
  <si>
    <t>NIFTYREALTY</t>
  </si>
  <si>
    <t>&amp;index=13030</t>
  </si>
  <si>
    <t>NIFTYPVTBANK</t>
  </si>
  <si>
    <t>NIFTYPSUBANK</t>
  </si>
  <si>
    <t>&amp;index=13026</t>
  </si>
  <si>
    <t>&amp;index=15270</t>
  </si>
  <si>
    <t>A</t>
  </si>
  <si>
    <t>D</t>
  </si>
  <si>
    <t>C</t>
  </si>
  <si>
    <t>B</t>
  </si>
  <si>
    <t>Group</t>
  </si>
  <si>
    <t>E</t>
  </si>
  <si>
    <t>BUY</t>
  </si>
  <si>
    <t>SELL</t>
  </si>
  <si>
    <t>NETURAL</t>
  </si>
  <si>
    <t>OVERBOUGHT</t>
  </si>
  <si>
    <t>OVERSOLD</t>
  </si>
  <si>
    <t>Spike Alert</t>
  </si>
  <si>
    <t>ON</t>
  </si>
  <si>
    <t>OFF</t>
  </si>
  <si>
    <t>Change</t>
  </si>
  <si>
    <t>NIFTY REALTY</t>
  </si>
  <si>
    <t>NIFTY PVT BANK</t>
  </si>
  <si>
    <t>NIFTY PSU BANK</t>
  </si>
  <si>
    <t>NIFTY PHARMA</t>
  </si>
  <si>
    <t>NIFTY METAL</t>
  </si>
  <si>
    <t>NIFTY MEDIA</t>
  </si>
  <si>
    <t>NIFTY IT</t>
  </si>
  <si>
    <t>NIFTY FMCG</t>
  </si>
  <si>
    <t>NIFTY FIN SERVICE</t>
  </si>
  <si>
    <t>NIFTY ENERGY</t>
  </si>
  <si>
    <t>NIFTY AUTO</t>
  </si>
  <si>
    <t xml:space="preserve">  </t>
  </si>
  <si>
    <t>https://www.nseindia.com/products/content/derivatives/equities/historical_fo.htm</t>
  </si>
  <si>
    <t xml:space="preserve">Options Historic Data </t>
  </si>
  <si>
    <t>symbol</t>
  </si>
  <si>
    <t>open</t>
  </si>
  <si>
    <t>high</t>
  </si>
  <si>
    <t>low</t>
  </si>
  <si>
    <t>ltP</t>
  </si>
  <si>
    <t>ptsC</t>
  </si>
  <si>
    <t>per</t>
  </si>
  <si>
    <t>trdVolM</t>
  </si>
  <si>
    <t>previousClose</t>
  </si>
  <si>
    <t xml:space="preserve">Advances </t>
  </si>
  <si>
    <t>Declines</t>
  </si>
  <si>
    <t>Unchanged</t>
  </si>
  <si>
    <t>WeeklyExpiry</t>
  </si>
  <si>
    <t>OptionsType</t>
  </si>
  <si>
    <t>CE</t>
  </si>
  <si>
    <t>PE</t>
  </si>
  <si>
    <t>Days</t>
  </si>
  <si>
    <t>day</t>
  </si>
  <si>
    <t>week</t>
  </si>
  <si>
    <t>15days</t>
  </si>
  <si>
    <t>1month</t>
  </si>
  <si>
    <t>3month</t>
  </si>
  <si>
    <t>12month</t>
  </si>
  <si>
    <t>24month</t>
  </si>
  <si>
    <t>TODO:</t>
  </si>
  <si>
    <t xml:space="preserve">Track the International market. </t>
  </si>
  <si>
    <t>Unchange</t>
  </si>
  <si>
    <t>Advance /Decline</t>
  </si>
  <si>
    <t>Advances</t>
  </si>
  <si>
    <t>11JUL2019</t>
  </si>
  <si>
    <t>4JUL2019</t>
  </si>
  <si>
    <t>ORIENTBANK</t>
  </si>
  <si>
    <t>J&amp;KBANK</t>
  </si>
  <si>
    <t>INDIANB</t>
  </si>
  <si>
    <t>ALBK</t>
  </si>
  <si>
    <t>CUB</t>
  </si>
  <si>
    <t>BANKINDIA</t>
  </si>
  <si>
    <t>SYNDIBANK</t>
  </si>
  <si>
    <t>Reject</t>
  </si>
  <si>
    <t>CENTRALBK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</si>
</sst>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22"/>
      <color theme="5"/>
      <name val="Calibri"/>
      <family val="2"/>
      <scheme val="minor"/>
    </font>
    <font>
      <b/>
      <sz val="22"/>
      <color theme="0" tint="-0.34998626667073579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2"/>
      <color theme="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/>
        <bgColor theme="9"/>
      </patternFill>
    </fill>
    <fill>
      <patternFill patternType="solid">
        <fgColor theme="7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42">
    <xf numFmtId="0" fontId="0" fillId="0" borderId="0" xfId="0"/>
    <xf numFmtId="164" fontId="0" fillId="0" borderId="0" xfId="1" applyNumberFormat="1" applyFont="1"/>
    <xf numFmtId="0" fontId="0" fillId="2" borderId="0" xfId="0" applyFill="1"/>
    <xf numFmtId="0" fontId="2" fillId="0" borderId="0" xfId="0" applyFont="1"/>
    <xf numFmtId="49" fontId="0" fillId="0" borderId="0" xfId="0" applyNumberFormat="1"/>
    <xf numFmtId="0" fontId="3" fillId="4" borderId="2" xfId="0" applyFont="1" applyFill="1" applyBorder="1"/>
    <xf numFmtId="0" fontId="3" fillId="4" borderId="3" xfId="0" applyFont="1" applyFill="1" applyBorder="1"/>
    <xf numFmtId="16" fontId="2" fillId="2" borderId="1" xfId="0" applyNumberFormat="1" applyFont="1" applyFill="1" applyBorder="1"/>
    <xf numFmtId="0" fontId="0" fillId="2" borderId="1" xfId="0" applyFill="1" applyBorder="1"/>
    <xf numFmtId="16" fontId="0" fillId="2" borderId="1" xfId="0" applyNumberFormat="1" applyFill="1" applyBorder="1"/>
    <xf numFmtId="0" fontId="0" fillId="2" borderId="0" xfId="0" applyFill="1" applyBorder="1"/>
    <xf numFmtId="0" fontId="0" fillId="0" borderId="4" xfId="0" applyBorder="1"/>
    <xf numFmtId="0" fontId="0" fillId="0" borderId="4" xfId="0" applyNumberFormat="1" applyBorder="1"/>
    <xf numFmtId="164" fontId="0" fillId="0" borderId="4" xfId="1" applyNumberFormat="1" applyFont="1" applyBorder="1"/>
    <xf numFmtId="0" fontId="2" fillId="2" borderId="0" xfId="0" applyFont="1" applyFill="1"/>
    <xf numFmtId="0" fontId="0" fillId="0" borderId="5" xfId="0" applyNumberFormat="1" applyBorder="1"/>
    <xf numFmtId="0" fontId="0" fillId="0" borderId="5" xfId="0" applyBorder="1"/>
    <xf numFmtId="0" fontId="4" fillId="0" borderId="0" xfId="2"/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14" fontId="0" fillId="0" borderId="0" xfId="0" applyNumberFormat="1"/>
    <xf numFmtId="0" fontId="0" fillId="0" borderId="0" xfId="0" applyAlignment="1">
      <alignment horizontal="right"/>
    </xf>
    <xf numFmtId="0" fontId="5" fillId="0" borderId="0" xfId="0" applyFont="1"/>
    <xf numFmtId="0" fontId="0" fillId="0" borderId="7" xfId="0" applyBorder="1"/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horizontal="center" vertical="top"/>
    </xf>
    <xf numFmtId="164" fontId="0" fillId="0" borderId="5" xfId="1" applyNumberFormat="1" applyFont="1" applyBorder="1"/>
    <xf numFmtId="0" fontId="5" fillId="5" borderId="6" xfId="0" applyFont="1" applyFill="1" applyBorder="1"/>
    <xf numFmtId="0" fontId="9" fillId="0" borderId="0" xfId="0" applyFont="1" applyAlignment="1">
      <alignment vertical="top"/>
    </xf>
    <xf numFmtId="0" fontId="3" fillId="4" borderId="1" xfId="0" applyFont="1" applyFill="1" applyBorder="1"/>
    <xf numFmtId="0" fontId="0" fillId="0" borderId="1" xfId="0" applyBorder="1"/>
    <xf numFmtId="0" fontId="3" fillId="4" borderId="1" xfId="0" applyFont="1" applyFill="1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0" fillId="0" borderId="0" xfId="0" applyAlignment="1">
      <alignment horizontal="left"/>
    </xf>
    <xf numFmtId="0" fontId="10" fillId="0" borderId="0" xfId="0" applyFont="1" applyAlignment="1">
      <alignment vertical="top"/>
    </xf>
    <xf numFmtId="0" fontId="0" fillId="0" borderId="0" xfId="0" applyFill="1"/>
    <xf numFmtId="0" fontId="0" fillId="0" borderId="4" xfId="0" applyFont="1" applyBorder="1"/>
    <xf numFmtId="9" fontId="0" fillId="0" borderId="0" xfId="0" applyNumberFormat="1"/>
    <xf numFmtId="0" fontId="5" fillId="0" borderId="4" xfId="0" applyFont="1" applyBorder="1"/>
    <xf numFmtId="0" fontId="5" fillId="3" borderId="4" xfId="0" applyFont="1" applyFill="1" applyBorder="1"/>
  </cellXfs>
  <cellStyles count="3">
    <cellStyle name="Hyperlink" xfId="2" builtinId="8"/>
    <cellStyle name="Normal" xfId="0" builtinId="0"/>
    <cellStyle name="Percent" xfId="1" builtinId="5"/>
  </cellStyles>
  <dxfs count="47">
    <dxf>
      <numFmt numFmtId="164" formatCode="0.0%"/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4" formatCode="0.0%"/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b val="0"/>
        <i val="0"/>
        <strike val="0"/>
        <color auto="1"/>
      </font>
      <fill>
        <patternFill patternType="solid">
          <bgColor theme="7" tint="0.39994506668294322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numFmt numFmtId="30" formatCode="@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CC00FF"/>
      <color rgb="FF07ED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31" xr16:uid="{F635DB7C-2C01-4767-8954-A3930FFE5542}" autoFormatId="16" applyNumberFormats="0" applyBorderFormats="0" applyFontFormats="0" applyPatternFormats="0" applyAlignmentFormats="0" applyWidthHeightFormats="0">
  <queryTableRefresh nextId="10">
    <queryTableFields count="9">
      <queryTableField id="1" name="symbol" tableColumnId="1"/>
      <queryTableField id="2" name="open" tableColumnId="2"/>
      <queryTableField id="3" name="high" tableColumnId="3"/>
      <queryTableField id="4" name="low" tableColumnId="4"/>
      <queryTableField id="5" name="ltP" tableColumnId="5"/>
      <queryTableField id="6" name="ptsC" tableColumnId="6"/>
      <queryTableField id="7" name="per" tableColumnId="7"/>
      <queryTableField id="8" name="trdVolM" tableColumnId="8"/>
      <queryTableField id="9" name="previousClos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B3A8249A-EB46-4EB7-9CF3-6EBBF4F2E93C}" autoFormatId="16" applyNumberFormats="0" applyBorderFormats="0" applyFontFormats="0" applyPatternFormats="0" applyAlignmentFormats="0" applyWidthHeightFormats="0">
  <queryTableRefresh nextId="11">
    <queryTableFields count="10">
      <queryTableField id="1" name="symbol" tableColumnId="1"/>
      <queryTableField id="2" name="open" tableColumnId="2"/>
      <queryTableField id="3" name="high" tableColumnId="3"/>
      <queryTableField id="4" name="low" tableColumnId="4"/>
      <queryTableField id="5" name="ltP" tableColumnId="5"/>
      <queryTableField id="6" name="ptsC" tableColumnId="6"/>
      <queryTableField id="7" name="per" tableColumnId="7"/>
      <queryTableField id="8" name="trdVolM" tableColumnId="8"/>
      <queryTableField id="9" name="previousClose" tableColumnId="9"/>
      <queryTableField id="10" name="Reject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adjustColumnWidth="0" connectionId="25" xr16:uid="{F183F436-9707-417F-9EB3-25607703A16E}" autoFormatId="16" applyNumberFormats="0" applyBorderFormats="0" applyFontFormats="0" applyPatternFormats="0" applyAlignmentFormats="0" applyWidthHeightFormats="0">
  <queryTableRefresh nextId="5">
    <queryTableFields count="4">
      <queryTableField id="1" name="Symbol" tableColumnId="1"/>
      <queryTableField id="2" name="LTP" tableColumnId="2"/>
      <queryTableField id="3" name="%Chng" tableColumnId="3"/>
      <queryTableField id="4" name="Volume(M)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adjustColumnWidth="0" connectionId="33" xr16:uid="{482F06CA-C481-4141-A19F-F93C841D5C2A}" autoFormatId="16" applyNumberFormats="0" applyBorderFormats="0" applyFontFormats="0" applyPatternFormats="0" applyAlignmentFormats="0" applyWidthHeightFormats="0">
  <queryTableRefresh nextId="4">
    <queryTableFields count="3">
      <queryTableField id="1" name="Index" tableColumnId="1"/>
      <queryTableField id="2" name="Change" tableColumnId="2"/>
      <queryTableField id="3" name="%Change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adjustColumnWidth="0" connectionId="30" xr16:uid="{3769C39F-9C10-4754-BE2A-1722F54C660F}" autoFormatId="16" applyNumberFormats="0" applyBorderFormats="0" applyFontFormats="0" applyPatternFormats="0" applyAlignmentFormats="0" applyWidthHeightFormats="0">
  <queryTableRefresh nextId="9">
    <queryTableFields count="8">
      <queryTableField id="1" name="Symbol" tableColumnId="1"/>
      <queryTableField id="2" name="LTP" tableColumnId="2"/>
      <queryTableField id="3" name="%Change" tableColumnId="3"/>
      <queryTableField id="4" name="Volume(M)" tableColumnId="4"/>
      <queryTableField id="5" name="%Reject" tableColumnId="5"/>
      <queryTableField id="6" name="High" tableColumnId="6"/>
      <queryTableField id="7" name="Low" tableColumnId="7"/>
      <queryTableField id="8" name="Open" tableColumnId="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adjustColumnWidth="0" connectionId="20" xr16:uid="{6589B740-1207-4B48-90EB-E7BE64294AD0}" autoFormatId="16" applyNumberFormats="0" applyBorderFormats="0" applyFontFormats="0" applyPatternFormats="0" applyAlignmentFormats="0" applyWidthHeightFormats="0">
  <queryTableRefresh nextId="10">
    <queryTableFields count="9">
      <queryTableField id="1" name="Symbol" tableColumnId="1"/>
      <queryTableField id="2" name="Open" tableColumnId="2"/>
      <queryTableField id="3" name="High" tableColumnId="3"/>
      <queryTableField id="4" name="Low" tableColumnId="4"/>
      <queryTableField id="5" name="LTP" tableColumnId="5"/>
      <queryTableField id="6" name="PtsC" tableColumnId="6"/>
      <queryTableField id="7" name="Per" tableColumnId="7"/>
      <queryTableField id="8" name="TrdVolM" tableColumnId="8"/>
      <queryTableField id="9" name="%Rejct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adjustColumnWidth="0" connectionId="5" xr16:uid="{0235A8EA-E15A-44B3-91A0-2163174B97E6}" autoFormatId="16" applyNumberFormats="0" applyBorderFormats="0" applyFontFormats="0" applyPatternFormats="0" applyAlignmentFormats="0" applyWidthHeightFormats="0">
  <queryTableRefresh nextId="12">
    <queryTableFields count="11">
      <queryTableField id="1" name="Symbol" tableColumnId="1"/>
      <queryTableField id="2" name="LTP" tableColumnId="2"/>
      <queryTableField id="3" name="1D" tableColumnId="3"/>
      <queryTableField id="4" name="5D" tableColumnId="4"/>
      <queryTableField id="5" name="10D" tableColumnId="5"/>
      <queryTableField id="6" name="15D" tableColumnId="6"/>
      <queryTableField id="7" name="30D" tableColumnId="7"/>
      <queryTableField id="8" name="5DL" tableColumnId="8"/>
      <queryTableField id="9" name="10DL" tableColumnId="9"/>
      <queryTableField id="10" name="15DL" tableColumnId="10"/>
      <queryTableField id="11" name="30DL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5076868-A401-4255-9EEF-5C5AAFD5A017}" name="nifty50StockWatch" displayName="nifty50StockWatch" ref="A3:I53" tableType="queryTable" totalsRowShown="0">
  <autoFilter ref="A3:I53" xr:uid="{7B9C5183-2BBB-4E75-A362-DAF604D9C0DC}"/>
  <sortState ref="A4:I53">
    <sortCondition descending="1" ref="G3:G53"/>
  </sortState>
  <tableColumns count="9">
    <tableColumn id="1" xr3:uid="{BA3E3477-889E-4454-9764-BE555EDBCCBE}" uniqueName="1" name="symbol" queryTableFieldId="1"/>
    <tableColumn id="2" xr3:uid="{9441D373-AA68-41A3-9CD8-5122E9050870}" uniqueName="2" name="open" queryTableFieldId="2"/>
    <tableColumn id="3" xr3:uid="{A86CF1E7-B72A-4D7A-BC89-A0360DA63A86}" uniqueName="3" name="high" queryTableFieldId="3"/>
    <tableColumn id="4" xr3:uid="{334C4948-8FE7-4DF4-83C9-7B2B01F65FCC}" uniqueName="4" name="low" queryTableFieldId="4"/>
    <tableColumn id="5" xr3:uid="{EA921770-6AE7-4B27-9ACA-A4440FCC151A}" uniqueName="5" name="ltP" queryTableFieldId="5"/>
    <tableColumn id="6" xr3:uid="{4DF6171A-FCF0-44DF-859C-80442E7568F4}" uniqueName="6" name="ptsC" queryTableFieldId="6"/>
    <tableColumn id="7" xr3:uid="{9F00BD1E-4E41-481B-B5B7-BC950381BD3C}" uniqueName="7" name="per" queryTableFieldId="7"/>
    <tableColumn id="8" xr3:uid="{C8602047-A108-439A-8B0D-80BCFA8D394D}" uniqueName="8" name="trdVolM" queryTableFieldId="8"/>
    <tableColumn id="9" xr3:uid="{4580B18C-E824-4692-B9BB-DE95796F859B}" uniqueName="9" name="previousClose" queryTableFieldId="9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A51D2E9-ABB9-479C-8EE6-40CBEF917423}" name="bankNiftyFinal" displayName="bankNiftyFinal" ref="A3:J16" tableType="queryTable" totalsRowShown="0">
  <autoFilter ref="A3:J16" xr:uid="{74B5BE69-89C8-4218-9BA7-C4A52BC149C9}"/>
  <tableColumns count="10">
    <tableColumn id="1" xr3:uid="{EBDE0157-687C-46B0-8AA2-410D5123AE6C}" uniqueName="1" name="symbol" queryTableFieldId="1" dataDxfId="13"/>
    <tableColumn id="2" xr3:uid="{738693C0-1AAE-4B61-A697-4432BEBD1DDA}" uniqueName="2" name="open" queryTableFieldId="2" dataDxfId="12"/>
    <tableColumn id="3" xr3:uid="{A3873FEE-7F94-45C2-8C4D-57A3B655F465}" uniqueName="3" name="high" queryTableFieldId="3" dataDxfId="11"/>
    <tableColumn id="4" xr3:uid="{46B29305-38C0-4693-BA48-13AA72609937}" uniqueName="4" name="low" queryTableFieldId="4" dataDxfId="10"/>
    <tableColumn id="5" xr3:uid="{63EF3A0B-1C6E-4EC0-A479-DEBF445661B4}" uniqueName="5" name="ltP" queryTableFieldId="5" dataDxfId="9"/>
    <tableColumn id="6" xr3:uid="{CD634440-B1D2-4118-B848-7AC4A0C6B218}" uniqueName="6" name="ptsC" queryTableFieldId="6" dataDxfId="8"/>
    <tableColumn id="7" xr3:uid="{F7218DE2-E0F5-422F-99F3-EA925B15CB3A}" uniqueName="7" name="per" queryTableFieldId="7" dataDxfId="7"/>
    <tableColumn id="8" xr3:uid="{757BDB80-9656-4C2E-871E-2E1FF10718C1}" uniqueName="8" name="trdVolM" queryTableFieldId="8" dataDxfId="6"/>
    <tableColumn id="9" xr3:uid="{713EDEAA-975F-4AEA-9499-5DAC9EF07AB0}" uniqueName="9" name="previousClose" queryTableFieldId="9" dataDxfId="5"/>
    <tableColumn id="10" xr3:uid="{8F98FF3F-40B7-4633-B493-766DA7F6E257}" uniqueName="10" name="Reject" queryTableFieldId="10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DFC4CAC-0768-4111-82D6-F9CA1C69E482}" name="HourlyFinal" displayName="HourlyFinal" ref="A2:D20" tableType="queryTable" totalsRowShown="0" headerRowDxfId="46">
  <autoFilter ref="A2:D20" xr:uid="{A69DDF9D-D370-4E37-A400-E363498B4690}"/>
  <tableColumns count="4">
    <tableColumn id="1" xr3:uid="{762BBD6C-B7E2-4CC5-A260-7E6D35936CCB}" uniqueName="1" name="Symbol" queryTableFieldId="1" dataDxfId="4"/>
    <tableColumn id="2" xr3:uid="{CB05942C-CB96-416A-A906-F73CEB07ACDF}" uniqueName="2" name="LTP" queryTableFieldId="2" dataDxfId="3"/>
    <tableColumn id="3" xr3:uid="{7DF3F69A-DE3D-4A75-ADF5-64115B5BA24A}" uniqueName="3" name="%Chng" queryTableFieldId="3" dataDxfId="2"/>
    <tableColumn id="4" xr3:uid="{460F41B6-B921-4237-BD48-2C4EB7A3DCF7}" uniqueName="4" name="Volume(M)" queryTableFieldId="4" dataDxfId="1"/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46BD2EF-C0D3-4561-9F14-5E97E32F08DA}" name="Nitfy_Indices" displayName="Nitfy_Indices" ref="A22:C35" tableType="queryTable" totalsRowShown="0">
  <autoFilter ref="A22:C35" xr:uid="{D06EB37D-CC4A-4ACD-8B83-B6FFAAADC76A}"/>
  <sortState ref="A23:C35">
    <sortCondition descending="1" ref="C22:C35"/>
  </sortState>
  <tableColumns count="3">
    <tableColumn id="1" xr3:uid="{D5BCDAF3-C3ED-48C3-B1DB-D5F476B1D7F0}" uniqueName="1" name="Index" queryTableFieldId="1"/>
    <tableColumn id="2" xr3:uid="{7DF517FD-D775-43D9-93FA-16B4B8596941}" uniqueName="2" name="Change" queryTableFieldId="2"/>
    <tableColumn id="3" xr3:uid="{8FA67FF6-7254-4C8B-B159-58AFDA6D8C8D}" uniqueName="3" name="%Change" queryTableFieldId="3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91CB92-A950-4F4B-8576-0F1C849EC04F}" name="Nifty500Final" displayName="Nifty500Final" ref="F2:M24" tableType="queryTable" totalsRowShown="0">
  <autoFilter ref="F2:M24" xr:uid="{36FB5CD1-63E0-482E-9EF4-668C053610DA}"/>
  <sortState ref="F3:M24">
    <sortCondition descending="1" ref="H2:H24"/>
  </sortState>
  <tableColumns count="8">
    <tableColumn id="1" xr3:uid="{D9346CCC-F62B-4896-B72A-BF578CE68F3E}" uniqueName="1" name="Symbol" queryTableFieldId="1" dataDxfId="21"/>
    <tableColumn id="2" xr3:uid="{5D1FD232-BD9C-4BD7-B6C5-F96C917179C4}" uniqueName="2" name="LTP" queryTableFieldId="2" dataDxfId="20"/>
    <tableColumn id="3" xr3:uid="{552ED945-6633-49F5-AF21-9A343F649B63}" uniqueName="3" name="%Change" queryTableFieldId="3" dataDxfId="19"/>
    <tableColumn id="4" xr3:uid="{13A9D52F-4609-467E-BFF2-BD816F8C7D7C}" uniqueName="4" name="Volume(M)" queryTableFieldId="4" dataDxfId="18"/>
    <tableColumn id="5" xr3:uid="{496881C9-2D25-4454-9A9C-5307CF79C4E4}" uniqueName="5" name="%Reject" queryTableFieldId="5" dataDxfId="17" dataCellStyle="Percent"/>
    <tableColumn id="6" xr3:uid="{2D72795A-C2CB-4369-BD07-9075847C634C}" uniqueName="6" name="High" queryTableFieldId="6" dataDxfId="16"/>
    <tableColumn id="7" xr3:uid="{099FD7CB-E774-4DF7-9D67-4F3DE7D0905F}" uniqueName="7" name="Low" queryTableFieldId="7" dataDxfId="15"/>
    <tableColumn id="8" xr3:uid="{71368413-69C6-447B-B6E5-686444956F8E}" uniqueName="8" name="Open" queryTableFieldId="8" dataDxfId="14"/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8F44773-8271-498F-9974-98EFAA2ADE2C}" name="foSecStockWatch_" displayName="foSecStockWatch_" ref="O2:W149" tableType="queryTable" totalsRowShown="0">
  <autoFilter ref="O2:W149" xr:uid="{42C49018-9440-4B01-8C23-988AB14ADFCC}"/>
  <sortState ref="O3:W149">
    <sortCondition descending="1" ref="U2:U149"/>
  </sortState>
  <tableColumns count="9">
    <tableColumn id="1" xr3:uid="{7BC7CA99-3CA1-4FDF-94AF-CF32B4B01FAF}" uniqueName="1" name="Symbol" queryTableFieldId="1"/>
    <tableColumn id="2" xr3:uid="{E2451CD6-E22A-47E7-A3C2-89FB153F09F8}" uniqueName="2" name="Open" queryTableFieldId="2"/>
    <tableColumn id="3" xr3:uid="{23C05FC3-72B4-48D7-A3D2-4B63802D510C}" uniqueName="3" name="High" queryTableFieldId="3"/>
    <tableColumn id="4" xr3:uid="{C2355539-FB85-4679-B585-C492D3634AF4}" uniqueName="4" name="Low" queryTableFieldId="4"/>
    <tableColumn id="5" xr3:uid="{4CF1511E-622C-46EF-8ABA-C8BB80BF2211}" uniqueName="5" name="LTP" queryTableFieldId="5"/>
    <tableColumn id="6" xr3:uid="{7F508722-C756-4814-A914-B5A7AA2694C7}" uniqueName="6" name="PtsC" queryTableFieldId="6"/>
    <tableColumn id="7" xr3:uid="{85A7F5B2-AC4B-4A25-9074-CFCBA356110F}" uniqueName="7" name="Per" queryTableFieldId="7"/>
    <tableColumn id="8" xr3:uid="{ED055054-951B-4C9D-84DD-83419891EF2B}" uniqueName="8" name="TrdVolM" queryTableFieldId="8"/>
    <tableColumn id="9" xr3:uid="{B8A309AF-AD66-4087-98FD-31492EB970A2}" uniqueName="9" name="%Rejct" queryTableFieldId="9" dataDxfId="0" dataCellStyle="Percent"/>
  </tableColumns>
  <tableStyleInfo name="TableStyleLight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94E5555-F3B5-4D1B-82C0-44D2339B978E}" name="F_OHistoricFinalReport" displayName="F_OHistoricFinalReport" ref="A1:K151" tableType="queryTable" totalsRowShown="0">
  <autoFilter ref="A1:K151" xr:uid="{45EB59E4-1707-4445-9DFE-C80A14DEC527}"/>
  <sortState ref="A2:K151">
    <sortCondition descending="1" ref="G1:G151"/>
  </sortState>
  <tableColumns count="11">
    <tableColumn id="1" xr3:uid="{474975E6-A7E1-4FC1-9514-0BC004CA2C42}" uniqueName="1" name="Symbol" queryTableFieldId="1" dataDxfId="45"/>
    <tableColumn id="2" xr3:uid="{887B8D76-90D9-4E36-A8D1-6F508E1E3555}" uniqueName="2" name="LTP" queryTableFieldId="2" dataDxfId="44"/>
    <tableColumn id="3" xr3:uid="{4087FB8D-EB1A-4375-94C9-277DE1ECE6F5}" uniqueName="3" name="1D" queryTableFieldId="3" dataDxfId="43"/>
    <tableColumn id="4" xr3:uid="{38A2BC84-00E7-4AAA-B4D3-EC09EFBC8F4E}" uniqueName="4" name="5D" queryTableFieldId="4" dataDxfId="42"/>
    <tableColumn id="5" xr3:uid="{9F38EF3D-A752-4458-9C75-2B8CD969BC63}" uniqueName="5" name="10D" queryTableFieldId="5" dataDxfId="41"/>
    <tableColumn id="6" xr3:uid="{B5243BD4-33F7-4C48-A947-6491F91EB411}" uniqueName="6" name="15D" queryTableFieldId="6" dataDxfId="40"/>
    <tableColumn id="7" xr3:uid="{3A56BBCB-A760-42A4-BB39-48BDB02A8DBC}" uniqueName="7" name="30D" queryTableFieldId="7" dataDxfId="39"/>
    <tableColumn id="8" xr3:uid="{DA26D90B-03D2-472C-9F21-C6DD34E7883D}" uniqueName="8" name="5DL" queryTableFieldId="8" dataDxfId="38"/>
    <tableColumn id="9" xr3:uid="{CF264E2D-0959-4D23-8BB4-5009E7D6EE6C}" uniqueName="9" name="10DL" queryTableFieldId="9" dataDxfId="37"/>
    <tableColumn id="10" xr3:uid="{5BDD7844-BC24-4305-ACE3-0E577E9F1833}" uniqueName="10" name="15DL" queryTableFieldId="10" dataDxfId="36"/>
    <tableColumn id="11" xr3:uid="{DD27CF79-B14E-4085-9DCF-6947781A54EB}" uniqueName="11" name="30DL" queryTableFieldId="11" dataDxfId="35"/>
  </tableColumns>
  <tableStyleInfo name="TableStyleLight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2943802-5898-4023-9E0E-91766C222B09}" name="Table4" displayName="Table4" ref="A1:A23" totalsRowShown="0" headerRowDxfId="34" headerRowBorderDxfId="33">
  <autoFilter ref="A1:A23" xr:uid="{3A102B75-E542-476A-BE33-73117C1F273C}"/>
  <tableColumns count="1">
    <tableColumn id="1" xr3:uid="{87D4659C-7799-41CE-B156-CBAC50B02082}" name="Expiry" dataDxfId="32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nseindia.com/products/content/derivatives/equities/historical_fo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92FD0-0504-4A4C-871D-E30A7CD0660B}">
  <sheetPr codeName="Sheet6"/>
  <dimension ref="A1:J53"/>
  <sheetViews>
    <sheetView topLeftCell="A2" workbookViewId="0">
      <selection activeCell="A24" sqref="A24"/>
    </sheetView>
  </sheetViews>
  <sheetFormatPr defaultRowHeight="14.4" x14ac:dyDescent="0.3"/>
  <cols>
    <col min="1" max="1" width="19.109375" customWidth="1"/>
    <col min="2" max="4" width="10.6640625" hidden="1" customWidth="1"/>
    <col min="5" max="5" width="10.6640625" customWidth="1"/>
    <col min="6" max="6" width="10.6640625" hidden="1" customWidth="1"/>
    <col min="7" max="8" width="10.6640625" customWidth="1"/>
    <col min="9" max="9" width="13.109375" customWidth="1"/>
  </cols>
  <sheetData>
    <row r="1" spans="1:10" hidden="1" x14ac:dyDescent="0.3"/>
    <row r="2" spans="1:10" ht="28.8" x14ac:dyDescent="0.55000000000000004">
      <c r="A2" t="s">
        <v>296</v>
      </c>
      <c r="E2" s="18">
        <f>COUNTIF(G4:G53,"&gt;0")</f>
        <v>34</v>
      </c>
      <c r="G2" t="s">
        <v>278</v>
      </c>
      <c r="H2" s="19">
        <f>COUNTIF(G4:G53,"&lt;0")</f>
        <v>16</v>
      </c>
      <c r="I2" t="s">
        <v>279</v>
      </c>
      <c r="J2" s="20">
        <f>COUNTIF(G4:G53,"=0")</f>
        <v>0</v>
      </c>
    </row>
    <row r="3" spans="1:10" x14ac:dyDescent="0.3">
      <c r="A3" t="s">
        <v>268</v>
      </c>
      <c r="B3" t="s">
        <v>269</v>
      </c>
      <c r="C3" t="s">
        <v>270</v>
      </c>
      <c r="D3" t="s">
        <v>271</v>
      </c>
      <c r="E3" t="s">
        <v>272</v>
      </c>
      <c r="F3" t="s">
        <v>273</v>
      </c>
      <c r="G3" t="s">
        <v>274</v>
      </c>
      <c r="H3" t="s">
        <v>275</v>
      </c>
      <c r="I3" t="s">
        <v>276</v>
      </c>
    </row>
    <row r="4" spans="1:10" x14ac:dyDescent="0.3">
      <c r="A4" t="s">
        <v>9</v>
      </c>
      <c r="B4">
        <v>158.5</v>
      </c>
      <c r="C4">
        <v>170.35</v>
      </c>
      <c r="D4">
        <v>157.69999999999999</v>
      </c>
      <c r="E4">
        <v>169.3</v>
      </c>
      <c r="F4">
        <v>11.1</v>
      </c>
      <c r="G4">
        <v>7.02</v>
      </c>
      <c r="H4">
        <v>72.08</v>
      </c>
      <c r="I4">
        <v>158.19999999999999</v>
      </c>
    </row>
    <row r="5" spans="1:10" x14ac:dyDescent="0.3">
      <c r="A5" t="s">
        <v>67</v>
      </c>
      <c r="B5">
        <v>58.55</v>
      </c>
      <c r="C5">
        <v>63.45</v>
      </c>
      <c r="D5">
        <v>56.65</v>
      </c>
      <c r="E5">
        <v>63</v>
      </c>
      <c r="F5">
        <v>3.5</v>
      </c>
      <c r="G5">
        <v>5.88</v>
      </c>
      <c r="H5">
        <v>340.85</v>
      </c>
      <c r="I5">
        <v>59.5</v>
      </c>
    </row>
    <row r="6" spans="1:10" x14ac:dyDescent="0.3">
      <c r="A6" t="s">
        <v>108</v>
      </c>
      <c r="B6">
        <v>510</v>
      </c>
      <c r="C6">
        <v>531.35</v>
      </c>
      <c r="D6">
        <v>509.3</v>
      </c>
      <c r="E6">
        <v>528.79999999999995</v>
      </c>
      <c r="F6">
        <v>19.45</v>
      </c>
      <c r="G6">
        <v>3.82</v>
      </c>
      <c r="H6">
        <v>30.99</v>
      </c>
      <c r="I6">
        <v>509.35</v>
      </c>
    </row>
    <row r="7" spans="1:10" x14ac:dyDescent="0.3">
      <c r="A7" t="s">
        <v>30</v>
      </c>
      <c r="B7">
        <v>138.19999999999999</v>
      </c>
      <c r="C7">
        <v>144.75</v>
      </c>
      <c r="D7">
        <v>136.69999999999999</v>
      </c>
      <c r="E7">
        <v>143.9</v>
      </c>
      <c r="F7">
        <v>4.2</v>
      </c>
      <c r="G7">
        <v>3.01</v>
      </c>
      <c r="H7">
        <v>16.16</v>
      </c>
      <c r="I7">
        <v>139.69999999999999</v>
      </c>
    </row>
    <row r="8" spans="1:10" x14ac:dyDescent="0.3">
      <c r="A8" t="s">
        <v>10</v>
      </c>
      <c r="B8">
        <v>194.2</v>
      </c>
      <c r="C8">
        <v>201.75</v>
      </c>
      <c r="D8">
        <v>192.8</v>
      </c>
      <c r="E8">
        <v>201.1</v>
      </c>
      <c r="F8">
        <v>5.0999999999999996</v>
      </c>
      <c r="G8">
        <v>2.6</v>
      </c>
      <c r="H8">
        <v>6.57</v>
      </c>
      <c r="I8">
        <v>196</v>
      </c>
    </row>
    <row r="9" spans="1:10" x14ac:dyDescent="0.3">
      <c r="A9" t="s">
        <v>26</v>
      </c>
      <c r="B9">
        <v>392.8</v>
      </c>
      <c r="C9">
        <v>411.45</v>
      </c>
      <c r="D9">
        <v>389</v>
      </c>
      <c r="E9">
        <v>409.9</v>
      </c>
      <c r="F9">
        <v>10.25</v>
      </c>
      <c r="G9">
        <v>2.56</v>
      </c>
      <c r="H9">
        <v>26.11</v>
      </c>
      <c r="I9">
        <v>399.65</v>
      </c>
    </row>
    <row r="10" spans="1:10" x14ac:dyDescent="0.3">
      <c r="A10" t="s">
        <v>22</v>
      </c>
      <c r="B10">
        <v>236.6</v>
      </c>
      <c r="C10">
        <v>242.75</v>
      </c>
      <c r="D10">
        <v>236.5</v>
      </c>
      <c r="E10">
        <v>242</v>
      </c>
      <c r="F10">
        <v>5.2</v>
      </c>
      <c r="G10">
        <v>2.2000000000000002</v>
      </c>
      <c r="H10">
        <v>3.34</v>
      </c>
      <c r="I10">
        <v>236.8</v>
      </c>
    </row>
    <row r="11" spans="1:10" x14ac:dyDescent="0.3">
      <c r="A11" t="s">
        <v>73</v>
      </c>
      <c r="B11">
        <v>433.5</v>
      </c>
      <c r="C11">
        <v>444.7</v>
      </c>
      <c r="D11">
        <v>431.7</v>
      </c>
      <c r="E11">
        <v>443.05</v>
      </c>
      <c r="F11">
        <v>9.4499999999999993</v>
      </c>
      <c r="G11">
        <v>2.1800000000000002</v>
      </c>
      <c r="H11">
        <v>4.32</v>
      </c>
      <c r="I11">
        <v>433.6</v>
      </c>
    </row>
    <row r="12" spans="1:10" x14ac:dyDescent="0.3">
      <c r="A12" t="s">
        <v>156</v>
      </c>
      <c r="B12">
        <v>126.9</v>
      </c>
      <c r="C12">
        <v>130.65</v>
      </c>
      <c r="D12">
        <v>126.85</v>
      </c>
      <c r="E12">
        <v>130.19999999999999</v>
      </c>
      <c r="F12">
        <v>2.5499999999999998</v>
      </c>
      <c r="G12">
        <v>2</v>
      </c>
      <c r="H12">
        <v>5.82</v>
      </c>
      <c r="I12">
        <v>127.65</v>
      </c>
    </row>
    <row r="13" spans="1:10" x14ac:dyDescent="0.3">
      <c r="A13" t="s">
        <v>129</v>
      </c>
      <c r="B13">
        <v>1154.7</v>
      </c>
      <c r="C13">
        <v>1178</v>
      </c>
      <c r="D13">
        <v>1153</v>
      </c>
      <c r="E13">
        <v>1176.5</v>
      </c>
      <c r="F13">
        <v>18.350000000000001</v>
      </c>
      <c r="G13">
        <v>1.58</v>
      </c>
      <c r="H13">
        <v>1.39</v>
      </c>
      <c r="I13">
        <v>1158.1500000000001</v>
      </c>
    </row>
    <row r="14" spans="1:10" x14ac:dyDescent="0.3">
      <c r="A14" t="s">
        <v>48</v>
      </c>
      <c r="B14">
        <v>746.9</v>
      </c>
      <c r="C14">
        <v>761.5</v>
      </c>
      <c r="D14">
        <v>743.55</v>
      </c>
      <c r="E14">
        <v>758</v>
      </c>
      <c r="F14">
        <v>11.75</v>
      </c>
      <c r="G14">
        <v>1.57</v>
      </c>
      <c r="H14">
        <v>1.87</v>
      </c>
      <c r="I14">
        <v>746.25</v>
      </c>
    </row>
    <row r="15" spans="1:10" x14ac:dyDescent="0.3">
      <c r="A15" t="s">
        <v>75</v>
      </c>
      <c r="B15">
        <v>334.1</v>
      </c>
      <c r="C15">
        <v>342.95</v>
      </c>
      <c r="D15">
        <v>331.85</v>
      </c>
      <c r="E15">
        <v>341.5</v>
      </c>
      <c r="F15">
        <v>5.25</v>
      </c>
      <c r="G15">
        <v>1.56</v>
      </c>
      <c r="H15">
        <v>26.79</v>
      </c>
      <c r="I15">
        <v>336.25</v>
      </c>
    </row>
    <row r="16" spans="1:10" x14ac:dyDescent="0.3">
      <c r="A16" t="s">
        <v>43</v>
      </c>
      <c r="B16">
        <v>697</v>
      </c>
      <c r="C16">
        <v>710.5</v>
      </c>
      <c r="D16">
        <v>693.35</v>
      </c>
      <c r="E16">
        <v>708.25</v>
      </c>
      <c r="F16">
        <v>9.9</v>
      </c>
      <c r="G16">
        <v>1.42</v>
      </c>
      <c r="H16">
        <v>7.43</v>
      </c>
      <c r="I16">
        <v>698.35</v>
      </c>
    </row>
    <row r="17" spans="1:9" x14ac:dyDescent="0.3">
      <c r="A17" t="s">
        <v>53</v>
      </c>
      <c r="B17">
        <v>361.5</v>
      </c>
      <c r="C17">
        <v>370.35</v>
      </c>
      <c r="D17">
        <v>357.35</v>
      </c>
      <c r="E17">
        <v>367.05</v>
      </c>
      <c r="F17">
        <v>5.0999999999999996</v>
      </c>
      <c r="G17">
        <v>1.41</v>
      </c>
      <c r="H17">
        <v>4.37</v>
      </c>
      <c r="I17">
        <v>361.95</v>
      </c>
    </row>
    <row r="18" spans="1:9" x14ac:dyDescent="0.3">
      <c r="A18" t="s">
        <v>39</v>
      </c>
      <c r="B18">
        <v>2053</v>
      </c>
      <c r="C18">
        <v>2082</v>
      </c>
      <c r="D18">
        <v>2045.5</v>
      </c>
      <c r="E18">
        <v>2077</v>
      </c>
      <c r="F18">
        <v>26</v>
      </c>
      <c r="G18">
        <v>1.27</v>
      </c>
      <c r="H18">
        <v>3.33</v>
      </c>
      <c r="I18">
        <v>2051</v>
      </c>
    </row>
    <row r="19" spans="1:9" x14ac:dyDescent="0.3">
      <c r="A19" t="s">
        <v>126</v>
      </c>
      <c r="B19">
        <v>494</v>
      </c>
      <c r="C19">
        <v>504.25</v>
      </c>
      <c r="D19">
        <v>492.2</v>
      </c>
      <c r="E19">
        <v>500</v>
      </c>
      <c r="F19">
        <v>5.5</v>
      </c>
      <c r="G19">
        <v>1.1100000000000001</v>
      </c>
      <c r="H19">
        <v>4.29</v>
      </c>
      <c r="I19">
        <v>494.5</v>
      </c>
    </row>
    <row r="20" spans="1:9" x14ac:dyDescent="0.3">
      <c r="A20" t="s">
        <v>94</v>
      </c>
      <c r="B20">
        <v>463</v>
      </c>
      <c r="C20">
        <v>471.85</v>
      </c>
      <c r="D20">
        <v>462</v>
      </c>
      <c r="E20">
        <v>469</v>
      </c>
      <c r="F20">
        <v>4.75</v>
      </c>
      <c r="G20">
        <v>1.02</v>
      </c>
      <c r="H20">
        <v>1.43</v>
      </c>
      <c r="I20">
        <v>464.25</v>
      </c>
    </row>
    <row r="21" spans="1:9" x14ac:dyDescent="0.3">
      <c r="A21" t="s">
        <v>152</v>
      </c>
      <c r="B21">
        <v>254</v>
      </c>
      <c r="C21">
        <v>264</v>
      </c>
      <c r="D21">
        <v>247.75</v>
      </c>
      <c r="E21">
        <v>259.8</v>
      </c>
      <c r="F21">
        <v>2.5499999999999998</v>
      </c>
      <c r="G21">
        <v>0.99</v>
      </c>
      <c r="H21">
        <v>15.22</v>
      </c>
      <c r="I21">
        <v>257.25</v>
      </c>
    </row>
    <row r="22" spans="1:9" x14ac:dyDescent="0.3">
      <c r="A22" t="s">
        <v>130</v>
      </c>
      <c r="B22">
        <v>732.85</v>
      </c>
      <c r="C22">
        <v>747</v>
      </c>
      <c r="D22">
        <v>729.3</v>
      </c>
      <c r="E22">
        <v>739.8</v>
      </c>
      <c r="F22">
        <v>6.4</v>
      </c>
      <c r="G22">
        <v>0.87</v>
      </c>
      <c r="H22">
        <v>8.02</v>
      </c>
      <c r="I22">
        <v>733.4</v>
      </c>
    </row>
    <row r="23" spans="1:9" x14ac:dyDescent="0.3">
      <c r="A23" t="s">
        <v>59</v>
      </c>
      <c r="B23">
        <v>2860</v>
      </c>
      <c r="C23">
        <v>2885.9</v>
      </c>
      <c r="D23">
        <v>2858.2</v>
      </c>
      <c r="E23">
        <v>2880.25</v>
      </c>
      <c r="F23">
        <v>21.9</v>
      </c>
      <c r="G23">
        <v>0.77</v>
      </c>
      <c r="H23">
        <v>0.48</v>
      </c>
      <c r="I23">
        <v>2858.35</v>
      </c>
    </row>
    <row r="24" spans="1:9" x14ac:dyDescent="0.3">
      <c r="A24" t="s">
        <v>113</v>
      </c>
      <c r="B24">
        <v>2027</v>
      </c>
      <c r="C24">
        <v>2052</v>
      </c>
      <c r="D24">
        <v>2022</v>
      </c>
      <c r="E24">
        <v>2043.45</v>
      </c>
      <c r="F24">
        <v>15</v>
      </c>
      <c r="G24">
        <v>0.74</v>
      </c>
      <c r="H24">
        <v>1.05</v>
      </c>
      <c r="I24">
        <v>2028.45</v>
      </c>
    </row>
    <row r="25" spans="1:9" x14ac:dyDescent="0.3">
      <c r="A25" t="s">
        <v>114</v>
      </c>
      <c r="B25">
        <v>3958</v>
      </c>
      <c r="C25">
        <v>4004.1</v>
      </c>
      <c r="D25">
        <v>3935</v>
      </c>
      <c r="E25">
        <v>3990.15</v>
      </c>
      <c r="F25">
        <v>25.6</v>
      </c>
      <c r="G25">
        <v>0.65</v>
      </c>
      <c r="H25">
        <v>1.43</v>
      </c>
      <c r="I25">
        <v>3964.55</v>
      </c>
    </row>
    <row r="26" spans="1:9" x14ac:dyDescent="0.3">
      <c r="A26" t="s">
        <v>143</v>
      </c>
      <c r="B26">
        <v>280</v>
      </c>
      <c r="C26">
        <v>287</v>
      </c>
      <c r="D26">
        <v>276</v>
      </c>
      <c r="E26">
        <v>281.5</v>
      </c>
      <c r="F26">
        <v>1.6</v>
      </c>
      <c r="G26">
        <v>0.56999999999999995</v>
      </c>
      <c r="H26">
        <v>24.05</v>
      </c>
      <c r="I26">
        <v>279.89999999999998</v>
      </c>
    </row>
    <row r="27" spans="1:9" x14ac:dyDescent="0.3">
      <c r="A27" t="s">
        <v>81</v>
      </c>
      <c r="B27">
        <v>2420</v>
      </c>
      <c r="C27">
        <v>2458.75</v>
      </c>
      <c r="D27">
        <v>2412</v>
      </c>
      <c r="E27">
        <v>2434</v>
      </c>
      <c r="F27">
        <v>11.6</v>
      </c>
      <c r="G27">
        <v>0.48</v>
      </c>
      <c r="H27">
        <v>0.46</v>
      </c>
      <c r="I27">
        <v>2422.4</v>
      </c>
    </row>
    <row r="28" spans="1:9" x14ac:dyDescent="0.3">
      <c r="A28" t="s">
        <v>128</v>
      </c>
      <c r="B28">
        <v>522.79999999999995</v>
      </c>
      <c r="C28">
        <v>529.25</v>
      </c>
      <c r="D28">
        <v>519.15</v>
      </c>
      <c r="E28">
        <v>525.29999999999995</v>
      </c>
      <c r="F28">
        <v>2.4</v>
      </c>
      <c r="G28">
        <v>0.46</v>
      </c>
      <c r="H28">
        <v>2.61</v>
      </c>
      <c r="I28">
        <v>522.9</v>
      </c>
    </row>
    <row r="29" spans="1:9" x14ac:dyDescent="0.3">
      <c r="A29" t="s">
        <v>138</v>
      </c>
      <c r="B29">
        <v>21325.75</v>
      </c>
      <c r="C29">
        <v>21768.95</v>
      </c>
      <c r="D29">
        <v>21135</v>
      </c>
      <c r="E29">
        <v>21469.9</v>
      </c>
      <c r="F29">
        <v>97.15</v>
      </c>
      <c r="G29">
        <v>0.45</v>
      </c>
      <c r="H29">
        <v>0.16</v>
      </c>
      <c r="I29">
        <v>21372.75</v>
      </c>
    </row>
    <row r="30" spans="1:9" x14ac:dyDescent="0.3">
      <c r="A30" t="s">
        <v>121</v>
      </c>
      <c r="B30">
        <v>3039.9</v>
      </c>
      <c r="C30">
        <v>3067.35</v>
      </c>
      <c r="D30">
        <v>3023.55</v>
      </c>
      <c r="E30">
        <v>3060</v>
      </c>
      <c r="F30">
        <v>11.7</v>
      </c>
      <c r="G30">
        <v>0.38</v>
      </c>
      <c r="H30">
        <v>0.26</v>
      </c>
      <c r="I30">
        <v>3048.3</v>
      </c>
    </row>
    <row r="31" spans="1:9" x14ac:dyDescent="0.3">
      <c r="A31" t="s">
        <v>18</v>
      </c>
      <c r="B31">
        <v>460.85</v>
      </c>
      <c r="C31">
        <v>464.8</v>
      </c>
      <c r="D31">
        <v>454.7</v>
      </c>
      <c r="E31">
        <v>460.8</v>
      </c>
      <c r="F31">
        <v>1.7</v>
      </c>
      <c r="G31">
        <v>0.37</v>
      </c>
      <c r="H31">
        <v>16.54</v>
      </c>
      <c r="I31">
        <v>459.1</v>
      </c>
    </row>
    <row r="32" spans="1:9" x14ac:dyDescent="0.3">
      <c r="A32" t="s">
        <v>34</v>
      </c>
      <c r="B32">
        <v>123</v>
      </c>
      <c r="C32">
        <v>124</v>
      </c>
      <c r="D32">
        <v>122</v>
      </c>
      <c r="E32">
        <v>123.8</v>
      </c>
      <c r="F32">
        <v>0.25</v>
      </c>
      <c r="G32">
        <v>0.2</v>
      </c>
      <c r="H32">
        <v>6.47</v>
      </c>
      <c r="I32">
        <v>123.55</v>
      </c>
    </row>
    <row r="33" spans="1:9" x14ac:dyDescent="0.3">
      <c r="A33" t="s">
        <v>99</v>
      </c>
      <c r="B33">
        <v>781.05</v>
      </c>
      <c r="C33">
        <v>790.65</v>
      </c>
      <c r="D33">
        <v>775.55</v>
      </c>
      <c r="E33">
        <v>783.65</v>
      </c>
      <c r="F33">
        <v>1.35</v>
      </c>
      <c r="G33">
        <v>0.17</v>
      </c>
      <c r="H33">
        <v>1.61</v>
      </c>
      <c r="I33">
        <v>782.3</v>
      </c>
    </row>
    <row r="34" spans="1:9" x14ac:dyDescent="0.3">
      <c r="A34" t="s">
        <v>66</v>
      </c>
      <c r="B34">
        <v>115.05</v>
      </c>
      <c r="C34">
        <v>115.3</v>
      </c>
      <c r="D34">
        <v>114</v>
      </c>
      <c r="E34">
        <v>114.7</v>
      </c>
      <c r="F34">
        <v>0.15</v>
      </c>
      <c r="G34">
        <v>0.13</v>
      </c>
      <c r="H34">
        <v>4.4400000000000004</v>
      </c>
      <c r="I34">
        <v>114.55</v>
      </c>
    </row>
    <row r="35" spans="1:9" x14ac:dyDescent="0.3">
      <c r="A35" t="s">
        <v>72</v>
      </c>
      <c r="B35">
        <v>1643.3</v>
      </c>
      <c r="C35">
        <v>1659.9</v>
      </c>
      <c r="D35">
        <v>1633.2</v>
      </c>
      <c r="E35">
        <v>1648.6</v>
      </c>
      <c r="F35">
        <v>1.85</v>
      </c>
      <c r="G35">
        <v>0.11</v>
      </c>
      <c r="H35">
        <v>2.7</v>
      </c>
      <c r="I35">
        <v>1646.75</v>
      </c>
    </row>
    <row r="36" spans="1:9" x14ac:dyDescent="0.3">
      <c r="A36" t="s">
        <v>139</v>
      </c>
      <c r="B36">
        <v>568.9</v>
      </c>
      <c r="C36">
        <v>574.79999999999995</v>
      </c>
      <c r="D36">
        <v>562.45000000000005</v>
      </c>
      <c r="E36">
        <v>570</v>
      </c>
      <c r="F36">
        <v>0.5</v>
      </c>
      <c r="G36">
        <v>0.09</v>
      </c>
      <c r="H36">
        <v>2.15</v>
      </c>
      <c r="I36">
        <v>569.5</v>
      </c>
    </row>
    <row r="37" spans="1:9" x14ac:dyDescent="0.3">
      <c r="A37" t="s">
        <v>32</v>
      </c>
      <c r="B37">
        <v>1127</v>
      </c>
      <c r="C37">
        <v>1130</v>
      </c>
      <c r="D37">
        <v>1116.45</v>
      </c>
      <c r="E37">
        <v>1125</v>
      </c>
      <c r="F37">
        <v>0.45</v>
      </c>
      <c r="G37">
        <v>0.04</v>
      </c>
      <c r="H37">
        <v>2.95</v>
      </c>
      <c r="I37">
        <v>1124.55</v>
      </c>
    </row>
    <row r="38" spans="1:9" x14ac:dyDescent="0.3">
      <c r="A38" t="s">
        <v>134</v>
      </c>
      <c r="B38">
        <v>1538.4</v>
      </c>
      <c r="C38">
        <v>1554</v>
      </c>
      <c r="D38">
        <v>1523</v>
      </c>
      <c r="E38">
        <v>1544.55</v>
      </c>
      <c r="F38">
        <v>-0.15</v>
      </c>
      <c r="G38">
        <v>-0.01</v>
      </c>
      <c r="H38">
        <v>3.42</v>
      </c>
      <c r="I38">
        <v>1544.7</v>
      </c>
    </row>
    <row r="39" spans="1:9" x14ac:dyDescent="0.3">
      <c r="A39" t="s">
        <v>111</v>
      </c>
      <c r="B39">
        <v>2311.1999999999998</v>
      </c>
      <c r="C39">
        <v>2328.6999999999998</v>
      </c>
      <c r="D39">
        <v>2286.4</v>
      </c>
      <c r="E39">
        <v>2317</v>
      </c>
      <c r="F39">
        <v>-2.7</v>
      </c>
      <c r="G39">
        <v>-0.12</v>
      </c>
      <c r="H39">
        <v>3.21</v>
      </c>
      <c r="I39">
        <v>2319.6999999999998</v>
      </c>
    </row>
    <row r="40" spans="1:9" x14ac:dyDescent="0.3">
      <c r="A40" t="s">
        <v>58</v>
      </c>
      <c r="B40">
        <v>4210</v>
      </c>
      <c r="C40">
        <v>4232.25</v>
      </c>
      <c r="D40">
        <v>4164.05</v>
      </c>
      <c r="E40">
        <v>4202</v>
      </c>
      <c r="F40">
        <v>-9.6999999999999993</v>
      </c>
      <c r="G40">
        <v>-0.23</v>
      </c>
      <c r="H40">
        <v>0.27</v>
      </c>
      <c r="I40">
        <v>4211.7</v>
      </c>
    </row>
    <row r="41" spans="1:9" x14ac:dyDescent="0.3">
      <c r="A41" t="s">
        <v>102</v>
      </c>
      <c r="B41">
        <v>14330</v>
      </c>
      <c r="C41">
        <v>14375</v>
      </c>
      <c r="D41">
        <v>14201</v>
      </c>
      <c r="E41">
        <v>14310</v>
      </c>
      <c r="F41">
        <v>-43.5</v>
      </c>
      <c r="G41">
        <v>-0.3</v>
      </c>
      <c r="H41">
        <v>0.06</v>
      </c>
      <c r="I41">
        <v>14353.5</v>
      </c>
    </row>
    <row r="42" spans="1:9" x14ac:dyDescent="0.3">
      <c r="A42" t="s">
        <v>78</v>
      </c>
      <c r="B42">
        <v>3259.75</v>
      </c>
      <c r="C42">
        <v>3278</v>
      </c>
      <c r="D42">
        <v>3228</v>
      </c>
      <c r="E42">
        <v>3250</v>
      </c>
      <c r="F42">
        <v>-9.75</v>
      </c>
      <c r="G42">
        <v>-0.3</v>
      </c>
      <c r="H42">
        <v>0.46</v>
      </c>
      <c r="I42">
        <v>3259.75</v>
      </c>
    </row>
    <row r="43" spans="1:9" x14ac:dyDescent="0.3">
      <c r="A43" t="s">
        <v>97</v>
      </c>
      <c r="B43">
        <v>1252.5</v>
      </c>
      <c r="C43">
        <v>1256.9000000000001</v>
      </c>
      <c r="D43">
        <v>1234.2</v>
      </c>
      <c r="E43">
        <v>1251.6500000000001</v>
      </c>
      <c r="F43">
        <v>-3.75</v>
      </c>
      <c r="G43">
        <v>-0.3</v>
      </c>
      <c r="H43">
        <v>5.7</v>
      </c>
      <c r="I43">
        <v>1255.4000000000001</v>
      </c>
    </row>
    <row r="44" spans="1:9" x14ac:dyDescent="0.3">
      <c r="A44" t="s">
        <v>83</v>
      </c>
      <c r="B44">
        <v>243.5</v>
      </c>
      <c r="C44">
        <v>244.05</v>
      </c>
      <c r="D44">
        <v>242</v>
      </c>
      <c r="E44">
        <v>243.2</v>
      </c>
      <c r="F44">
        <v>-0.85</v>
      </c>
      <c r="G44">
        <v>-0.35</v>
      </c>
      <c r="H44">
        <v>11.95</v>
      </c>
      <c r="I44">
        <v>244.05</v>
      </c>
    </row>
    <row r="45" spans="1:9" x14ac:dyDescent="0.3">
      <c r="A45" t="s">
        <v>80</v>
      </c>
      <c r="B45">
        <v>250</v>
      </c>
      <c r="C45">
        <v>261</v>
      </c>
      <c r="D45">
        <v>242.5</v>
      </c>
      <c r="E45">
        <v>247.4</v>
      </c>
      <c r="F45">
        <v>-1.05</v>
      </c>
      <c r="G45">
        <v>-0.42</v>
      </c>
      <c r="H45">
        <v>35.96</v>
      </c>
      <c r="I45">
        <v>248.45</v>
      </c>
    </row>
    <row r="46" spans="1:9" x14ac:dyDescent="0.3">
      <c r="A46" t="s">
        <v>119</v>
      </c>
      <c r="B46">
        <v>189.45</v>
      </c>
      <c r="C46">
        <v>190</v>
      </c>
      <c r="D46">
        <v>187.7</v>
      </c>
      <c r="E46">
        <v>188.5</v>
      </c>
      <c r="F46">
        <v>-0.9</v>
      </c>
      <c r="G46">
        <v>-0.48</v>
      </c>
      <c r="H46">
        <v>5.8</v>
      </c>
      <c r="I46">
        <v>189.4</v>
      </c>
    </row>
    <row r="47" spans="1:9" x14ac:dyDescent="0.3">
      <c r="A47" t="s">
        <v>84</v>
      </c>
      <c r="B47">
        <v>1731.2</v>
      </c>
      <c r="C47">
        <v>1734.4</v>
      </c>
      <c r="D47">
        <v>1710.25</v>
      </c>
      <c r="E47">
        <v>1721.95</v>
      </c>
      <c r="F47">
        <v>-14.5</v>
      </c>
      <c r="G47">
        <v>-0.84</v>
      </c>
      <c r="H47">
        <v>0.85</v>
      </c>
      <c r="I47">
        <v>1736.45</v>
      </c>
    </row>
    <row r="48" spans="1:9" x14ac:dyDescent="0.3">
      <c r="A48" t="s">
        <v>25</v>
      </c>
      <c r="B48">
        <v>7129.8</v>
      </c>
      <c r="C48">
        <v>7170</v>
      </c>
      <c r="D48">
        <v>7052</v>
      </c>
      <c r="E48">
        <v>7076.1</v>
      </c>
      <c r="F48">
        <v>-62.7</v>
      </c>
      <c r="G48">
        <v>-0.88</v>
      </c>
      <c r="H48">
        <v>0.74</v>
      </c>
      <c r="I48">
        <v>7138.8</v>
      </c>
    </row>
    <row r="49" spans="1:9" x14ac:dyDescent="0.3">
      <c r="A49" t="s">
        <v>37</v>
      </c>
      <c r="B49">
        <v>9068.9</v>
      </c>
      <c r="C49">
        <v>9088</v>
      </c>
      <c r="D49">
        <v>8955.0499999999993</v>
      </c>
      <c r="E49">
        <v>8993</v>
      </c>
      <c r="F49">
        <v>-96.75</v>
      </c>
      <c r="G49">
        <v>-1.06</v>
      </c>
      <c r="H49">
        <v>0.22</v>
      </c>
      <c r="I49">
        <v>9089.75</v>
      </c>
    </row>
    <row r="50" spans="1:9" x14ac:dyDescent="0.3">
      <c r="A50" t="s">
        <v>136</v>
      </c>
      <c r="B50">
        <v>127.95</v>
      </c>
      <c r="C50">
        <v>129.4</v>
      </c>
      <c r="D50">
        <v>126.5</v>
      </c>
      <c r="E50">
        <v>127.05</v>
      </c>
      <c r="F50">
        <v>-1.45</v>
      </c>
      <c r="G50">
        <v>-1.1299999999999999</v>
      </c>
      <c r="H50">
        <v>5.66</v>
      </c>
      <c r="I50">
        <v>128.5</v>
      </c>
    </row>
    <row r="51" spans="1:9" x14ac:dyDescent="0.3">
      <c r="A51" t="s">
        <v>91</v>
      </c>
      <c r="B51">
        <v>204.6</v>
      </c>
      <c r="C51">
        <v>205</v>
      </c>
      <c r="D51">
        <v>201.15</v>
      </c>
      <c r="E51">
        <v>202.5</v>
      </c>
      <c r="F51">
        <v>-3.1</v>
      </c>
      <c r="G51">
        <v>-1.51</v>
      </c>
      <c r="H51">
        <v>5.34</v>
      </c>
      <c r="I51">
        <v>205.6</v>
      </c>
    </row>
    <row r="52" spans="1:9" x14ac:dyDescent="0.3">
      <c r="A52" t="s">
        <v>31</v>
      </c>
      <c r="B52">
        <v>1573</v>
      </c>
      <c r="C52">
        <v>1577.5</v>
      </c>
      <c r="D52">
        <v>1533.75</v>
      </c>
      <c r="E52">
        <v>1554.5</v>
      </c>
      <c r="F52">
        <v>-24.4</v>
      </c>
      <c r="G52">
        <v>-1.55</v>
      </c>
      <c r="H52">
        <v>9.59</v>
      </c>
      <c r="I52">
        <v>1578.9</v>
      </c>
    </row>
    <row r="53" spans="1:9" x14ac:dyDescent="0.3">
      <c r="A53" t="s">
        <v>36</v>
      </c>
      <c r="B53">
        <v>1310</v>
      </c>
      <c r="C53">
        <v>1312</v>
      </c>
      <c r="D53">
        <v>1282.1500000000001</v>
      </c>
      <c r="E53">
        <v>1283.5</v>
      </c>
      <c r="F53">
        <v>-29.7</v>
      </c>
      <c r="G53">
        <v>-2.2599999999999998</v>
      </c>
      <c r="H53">
        <v>10.23</v>
      </c>
      <c r="I53">
        <v>1313.2</v>
      </c>
    </row>
  </sheetData>
  <conditionalFormatting sqref="G4:G5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3">
    <cfRule type="top10" dxfId="31" priority="1" rank="10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28D30-E715-4C20-A50E-9BA75487E4DB}">
  <sheetPr codeName="Sheet4"/>
  <dimension ref="A1:R16"/>
  <sheetViews>
    <sheetView tabSelected="1" topLeftCell="A2" workbookViewId="0">
      <selection activeCell="G5" sqref="G5"/>
    </sheetView>
  </sheetViews>
  <sheetFormatPr defaultRowHeight="14.4" x14ac:dyDescent="0.3"/>
  <cols>
    <col min="1" max="1" width="15.6640625" customWidth="1"/>
    <col min="2" max="2" width="9" bestFit="1" customWidth="1"/>
    <col min="3" max="6" width="12.6640625" customWidth="1"/>
    <col min="7" max="7" width="13.44140625" customWidth="1"/>
    <col min="8" max="8" width="10.21875" bestFit="1" customWidth="1"/>
    <col min="9" max="9" width="14.88671875" bestFit="1" customWidth="1"/>
    <col min="10" max="10" width="14.88671875" customWidth="1"/>
    <col min="11" max="11" width="17.33203125" bestFit="1" customWidth="1"/>
    <col min="12" max="12" width="11" bestFit="1" customWidth="1"/>
    <col min="13" max="13" width="14.44140625" bestFit="1" customWidth="1"/>
    <col min="14" max="14" width="11.109375" hidden="1" customWidth="1"/>
    <col min="15" max="15" width="12.33203125" bestFit="1" customWidth="1"/>
    <col min="16" max="16" width="11" bestFit="1" customWidth="1"/>
    <col min="17" max="17" width="14.44140625" bestFit="1" customWidth="1"/>
    <col min="18" max="18" width="18.88671875" hidden="1" customWidth="1"/>
    <col min="19" max="19" width="11" bestFit="1" customWidth="1"/>
    <col min="20" max="20" width="14.44140625" bestFit="1" customWidth="1"/>
    <col min="21" max="21" width="18.88671875" bestFit="1" customWidth="1"/>
  </cols>
  <sheetData>
    <row r="1" spans="1:10" hidden="1" x14ac:dyDescent="0.3"/>
    <row r="2" spans="1:10" ht="28.8" x14ac:dyDescent="0.55000000000000004">
      <c r="A2" s="22" t="s">
        <v>277</v>
      </c>
      <c r="B2" s="18">
        <f>COUNTIF(G4:G16,"&gt;0")</f>
        <v>5</v>
      </c>
      <c r="C2" s="22" t="s">
        <v>278</v>
      </c>
      <c r="D2" s="19">
        <f>COUNTIF(G5:G16,"&lt;0")</f>
        <v>7</v>
      </c>
      <c r="E2" s="22" t="s">
        <v>279</v>
      </c>
      <c r="F2" s="20">
        <f>COUNTIF(G5:G16,"=0")</f>
        <v>0</v>
      </c>
    </row>
    <row r="3" spans="1:10" x14ac:dyDescent="0.3">
      <c r="A3" t="s">
        <v>268</v>
      </c>
      <c r="B3" t="s">
        <v>269</v>
      </c>
      <c r="C3" t="s">
        <v>270</v>
      </c>
      <c r="D3" t="s">
        <v>271</v>
      </c>
      <c r="E3" t="s">
        <v>272</v>
      </c>
      <c r="F3" t="s">
        <v>273</v>
      </c>
      <c r="G3" t="s">
        <v>274</v>
      </c>
      <c r="H3" t="s">
        <v>275</v>
      </c>
      <c r="I3" t="s">
        <v>276</v>
      </c>
      <c r="J3" t="s">
        <v>306</v>
      </c>
    </row>
    <row r="4" spans="1:10" x14ac:dyDescent="0.3">
      <c r="A4" s="29" t="s">
        <v>150</v>
      </c>
      <c r="B4" s="29">
        <v>31321.4</v>
      </c>
      <c r="C4" s="29">
        <v>31537.65</v>
      </c>
      <c r="D4" s="29">
        <v>31122.05</v>
      </c>
      <c r="E4" s="29">
        <v>31316.65</v>
      </c>
      <c r="F4" s="29">
        <v>-24.9</v>
      </c>
      <c r="G4" s="29">
        <v>-0.08</v>
      </c>
      <c r="H4" s="29">
        <v>0</v>
      </c>
      <c r="I4" s="29">
        <v>0</v>
      </c>
      <c r="J4">
        <v>6.2528014703402413E-3</v>
      </c>
    </row>
    <row r="5" spans="1:10" x14ac:dyDescent="0.3">
      <c r="A5" s="11" t="s">
        <v>130</v>
      </c>
      <c r="B5" s="11">
        <v>713.45</v>
      </c>
      <c r="C5" s="11">
        <v>733.9</v>
      </c>
      <c r="D5" s="11">
        <v>710</v>
      </c>
      <c r="E5" s="11">
        <v>732.35</v>
      </c>
      <c r="F5" s="11">
        <v>14.75</v>
      </c>
      <c r="G5" s="11">
        <v>2.06</v>
      </c>
      <c r="H5" s="11">
        <v>8.98</v>
      </c>
      <c r="I5" s="11">
        <v>717.6</v>
      </c>
    </row>
    <row r="6" spans="1:10" x14ac:dyDescent="0.3">
      <c r="A6" s="11" t="s">
        <v>38</v>
      </c>
      <c r="B6" s="11">
        <v>60.3</v>
      </c>
      <c r="C6" s="11">
        <v>61.8</v>
      </c>
      <c r="D6" s="11">
        <v>59.55</v>
      </c>
      <c r="E6" s="11">
        <v>60.7</v>
      </c>
      <c r="F6" s="11">
        <v>0.5</v>
      </c>
      <c r="G6" s="11">
        <v>0.83</v>
      </c>
      <c r="H6" s="11">
        <v>18.829999999999998</v>
      </c>
      <c r="I6" s="11">
        <v>60.2</v>
      </c>
    </row>
    <row r="7" spans="1:10" x14ac:dyDescent="0.3">
      <c r="A7" s="11" t="s">
        <v>67</v>
      </c>
      <c r="B7" s="11">
        <v>56</v>
      </c>
      <c r="C7" s="11">
        <v>58.85</v>
      </c>
      <c r="D7" s="11">
        <v>53.75</v>
      </c>
      <c r="E7" s="11">
        <v>56.3</v>
      </c>
      <c r="F7" s="11">
        <v>0.3</v>
      </c>
      <c r="G7" s="11">
        <v>0.54</v>
      </c>
      <c r="H7" s="11">
        <v>314.83999999999997</v>
      </c>
      <c r="I7" s="11">
        <v>56</v>
      </c>
    </row>
    <row r="8" spans="1:10" x14ac:dyDescent="0.3">
      <c r="A8" s="11" t="s">
        <v>108</v>
      </c>
      <c r="B8" s="11">
        <v>524.04999999999995</v>
      </c>
      <c r="C8" s="11">
        <v>529.29999999999995</v>
      </c>
      <c r="D8" s="11">
        <v>522.20000000000005</v>
      </c>
      <c r="E8" s="11">
        <v>526.85</v>
      </c>
      <c r="F8" s="11">
        <v>2.0499999999999998</v>
      </c>
      <c r="G8" s="11">
        <v>0.39</v>
      </c>
      <c r="H8" s="11">
        <v>12.98</v>
      </c>
      <c r="I8" s="11">
        <v>524.79999999999995</v>
      </c>
    </row>
    <row r="9" spans="1:10" x14ac:dyDescent="0.3">
      <c r="A9" s="11" t="s">
        <v>155</v>
      </c>
      <c r="B9" s="11">
        <v>84.05</v>
      </c>
      <c r="C9" s="11">
        <v>85.3</v>
      </c>
      <c r="D9" s="11">
        <v>83.05</v>
      </c>
      <c r="E9" s="11">
        <v>84.25</v>
      </c>
      <c r="F9" s="11">
        <v>0.1</v>
      </c>
      <c r="G9" s="11">
        <v>0.12</v>
      </c>
      <c r="H9" s="11">
        <v>7.63</v>
      </c>
      <c r="I9" s="11">
        <v>84.15</v>
      </c>
    </row>
    <row r="10" spans="1:10" x14ac:dyDescent="0.3">
      <c r="A10" s="11" t="s">
        <v>21</v>
      </c>
      <c r="B10" s="11">
        <v>97.05</v>
      </c>
      <c r="C10" s="11">
        <v>98.4</v>
      </c>
      <c r="D10" s="11">
        <v>95.5</v>
      </c>
      <c r="E10" s="11">
        <v>96.9</v>
      </c>
      <c r="F10" s="11">
        <v>-0.15</v>
      </c>
      <c r="G10" s="11">
        <v>-0.15</v>
      </c>
      <c r="H10" s="11">
        <v>32.71</v>
      </c>
      <c r="I10" s="11">
        <v>97.05</v>
      </c>
      <c r="J10">
        <v>1.4659685863874339E-2</v>
      </c>
    </row>
    <row r="11" spans="1:10" x14ac:dyDescent="0.3">
      <c r="A11" s="11" t="s">
        <v>97</v>
      </c>
      <c r="B11" s="11">
        <v>1249.5</v>
      </c>
      <c r="C11" s="11">
        <v>1249.8499999999999</v>
      </c>
      <c r="D11" s="11">
        <v>1237.55</v>
      </c>
      <c r="E11" s="11">
        <v>1243.5</v>
      </c>
      <c r="F11" s="11">
        <v>-2.5499999999999998</v>
      </c>
      <c r="G11" s="11">
        <v>-0.2</v>
      </c>
      <c r="H11" s="11">
        <v>4.13</v>
      </c>
      <c r="I11" s="11">
        <v>1246.05</v>
      </c>
      <c r="J11">
        <v>4.8078865500384982E-3</v>
      </c>
    </row>
    <row r="12" spans="1:10" x14ac:dyDescent="0.3">
      <c r="A12" s="11" t="s">
        <v>72</v>
      </c>
      <c r="B12" s="11">
        <v>1677.95</v>
      </c>
      <c r="C12" s="11">
        <v>1679</v>
      </c>
      <c r="D12" s="11">
        <v>1656.5</v>
      </c>
      <c r="E12" s="11">
        <v>1660</v>
      </c>
      <c r="F12" s="11">
        <v>-14.3</v>
      </c>
      <c r="G12" s="11">
        <v>-0.85</v>
      </c>
      <c r="H12" s="11">
        <v>1.89</v>
      </c>
      <c r="I12" s="11">
        <v>1674.3</v>
      </c>
      <c r="J12">
        <v>2.1128886205856734E-3</v>
      </c>
    </row>
    <row r="13" spans="1:10" x14ac:dyDescent="0.3">
      <c r="A13" s="11" t="s">
        <v>75</v>
      </c>
      <c r="B13" s="11">
        <v>318.95</v>
      </c>
      <c r="C13" s="11">
        <v>327.64999999999998</v>
      </c>
      <c r="D13" s="11">
        <v>314.75</v>
      </c>
      <c r="E13" s="11">
        <v>317.05</v>
      </c>
      <c r="F13" s="11">
        <v>-2.95</v>
      </c>
      <c r="G13" s="11">
        <v>-0.92</v>
      </c>
      <c r="H13" s="11">
        <v>52.44</v>
      </c>
      <c r="I13" s="11">
        <v>320</v>
      </c>
      <c r="J13">
        <v>7.3073868149324817E-3</v>
      </c>
    </row>
    <row r="14" spans="1:10" x14ac:dyDescent="0.3">
      <c r="A14" s="11" t="s">
        <v>93</v>
      </c>
      <c r="B14" s="11">
        <v>339.15</v>
      </c>
      <c r="C14" s="11">
        <v>345.9</v>
      </c>
      <c r="D14" s="11">
        <v>325.25</v>
      </c>
      <c r="E14" s="11">
        <v>335</v>
      </c>
      <c r="F14" s="11">
        <v>-3.55</v>
      </c>
      <c r="G14" s="11">
        <v>-1.05</v>
      </c>
      <c r="H14" s="11">
        <v>24.25</v>
      </c>
      <c r="I14" s="11">
        <v>338.55</v>
      </c>
      <c r="J14">
        <v>2.997694081475788E-2</v>
      </c>
    </row>
    <row r="15" spans="1:10" x14ac:dyDescent="0.3">
      <c r="A15" s="11" t="s">
        <v>134</v>
      </c>
      <c r="B15" s="11">
        <v>1457</v>
      </c>
      <c r="C15" s="11">
        <v>1484.85</v>
      </c>
      <c r="D15" s="11">
        <v>1445.35</v>
      </c>
      <c r="E15" s="11">
        <v>1450</v>
      </c>
      <c r="F15" s="11">
        <v>-15.85</v>
      </c>
      <c r="G15" s="11">
        <v>-1.08</v>
      </c>
      <c r="H15" s="11">
        <v>2.83</v>
      </c>
      <c r="I15" s="11">
        <v>1465.85</v>
      </c>
      <c r="J15">
        <v>3.2172138236414849E-3</v>
      </c>
    </row>
    <row r="16" spans="1:10" x14ac:dyDescent="0.3">
      <c r="A16" s="24" t="s">
        <v>57</v>
      </c>
      <c r="B16" s="24">
        <v>43.25</v>
      </c>
      <c r="C16" s="24">
        <v>43.7</v>
      </c>
      <c r="D16" s="24">
        <v>42.5</v>
      </c>
      <c r="E16" s="24">
        <v>42.7</v>
      </c>
      <c r="F16" s="24">
        <v>-0.6</v>
      </c>
      <c r="G16" s="24">
        <v>-1.39</v>
      </c>
      <c r="H16" s="24">
        <v>12.97</v>
      </c>
      <c r="I16" s="24">
        <v>43.3</v>
      </c>
      <c r="J16">
        <v>4.7058823529413374E-3</v>
      </c>
    </row>
  </sheetData>
  <conditionalFormatting sqref="G5:G1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H16">
    <cfRule type="top10" dxfId="30" priority="1" rank="3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F3D48-61CC-4F73-BD2E-99C58DC5D6AA}">
  <sheetPr codeName="Sheet1"/>
  <dimension ref="A1:X149"/>
  <sheetViews>
    <sheetView showGridLines="0" zoomScaleNormal="100" workbookViewId="0">
      <pane ySplit="1" topLeftCell="A2" activePane="bottomLeft" state="frozen"/>
      <selection pane="bottomLeft" activeCell="F14" sqref="F14"/>
    </sheetView>
  </sheetViews>
  <sheetFormatPr defaultColWidth="10.6640625" defaultRowHeight="14.4" x14ac:dyDescent="0.3"/>
  <cols>
    <col min="1" max="1" width="17.33203125" bestFit="1" customWidth="1"/>
    <col min="5" max="5" width="5.109375" customWidth="1"/>
    <col min="6" max="6" width="15.5546875" customWidth="1"/>
    <col min="10" max="10" width="10.6640625" style="1"/>
    <col min="11" max="12" width="0" hidden="1" customWidth="1"/>
    <col min="13" max="13" width="8.109375" hidden="1" customWidth="1"/>
    <col min="14" max="14" width="2" customWidth="1"/>
    <col min="15" max="15" width="19.88671875" customWidth="1"/>
    <col min="16" max="16" width="8.109375" hidden="1" customWidth="1"/>
    <col min="17" max="18" width="9" hidden="1" customWidth="1"/>
    <col min="19" max="19" width="10.6640625" customWidth="1"/>
    <col min="20" max="20" width="7.109375" hidden="1" customWidth="1"/>
    <col min="21" max="22" width="10.6640625" customWidth="1"/>
    <col min="23" max="23" width="15.5546875" customWidth="1"/>
    <col min="24" max="24" width="3.109375" customWidth="1"/>
  </cols>
  <sheetData>
    <row r="1" spans="1:24" s="25" customFormat="1" ht="15.75" customHeight="1" x14ac:dyDescent="0.3">
      <c r="A1" s="26" t="s">
        <v>192</v>
      </c>
      <c r="B1" s="26" t="s">
        <v>209</v>
      </c>
      <c r="C1" s="30" t="str">
        <f>VLOOKUP(A1,Master!C2:D9,2,FALSE)&amp;""&amp;VLOOKUP(B1,Master!F2:G17,2,FALSE)</f>
        <v>&amp;index=1913%2C15270%2C13026</v>
      </c>
      <c r="D1" s="30" t="str">
        <f>VLOOKUP(B1,Master!F2:G17,2,FALSE)</f>
        <v>&amp;index=1913%2C15270%2C13026</v>
      </c>
      <c r="E1" s="27" t="s">
        <v>252</v>
      </c>
      <c r="O1" s="25" t="s">
        <v>295</v>
      </c>
      <c r="S1" s="36" t="str">
        <f>COUNTIF(U2:U149,"&gt;0")&amp;"/"&amp;COUNTIF(U2:U149,"&lt;0")</f>
        <v>86/61</v>
      </c>
      <c r="U1" s="25" t="s">
        <v>294</v>
      </c>
      <c r="V1" s="36">
        <f>COUNTIF(U2:U149,"=0")</f>
        <v>0</v>
      </c>
      <c r="W1" s="25" t="s">
        <v>161</v>
      </c>
    </row>
    <row r="2" spans="1:24" x14ac:dyDescent="0.3">
      <c r="A2" s="37" t="s">
        <v>0</v>
      </c>
      <c r="B2" s="37" t="s">
        <v>4</v>
      </c>
      <c r="C2" s="37" t="s">
        <v>162</v>
      </c>
      <c r="D2" s="37" t="s">
        <v>149</v>
      </c>
      <c r="F2" t="s">
        <v>0</v>
      </c>
      <c r="G2" t="s">
        <v>4</v>
      </c>
      <c r="H2" t="s">
        <v>148</v>
      </c>
      <c r="I2" t="s">
        <v>149</v>
      </c>
      <c r="J2" t="s">
        <v>158</v>
      </c>
      <c r="K2" t="s">
        <v>2</v>
      </c>
      <c r="L2" t="s">
        <v>3</v>
      </c>
      <c r="M2" t="s">
        <v>1</v>
      </c>
      <c r="O2" t="s">
        <v>0</v>
      </c>
      <c r="P2" t="s">
        <v>1</v>
      </c>
      <c r="Q2" t="s">
        <v>2</v>
      </c>
      <c r="R2" t="s">
        <v>3</v>
      </c>
      <c r="S2" t="s">
        <v>4</v>
      </c>
      <c r="T2" t="s">
        <v>5</v>
      </c>
      <c r="U2" t="s">
        <v>6</v>
      </c>
      <c r="V2" t="s">
        <v>7</v>
      </c>
      <c r="W2" t="s">
        <v>147</v>
      </c>
    </row>
    <row r="3" spans="1:24" x14ac:dyDescent="0.3">
      <c r="A3" s="15" t="s">
        <v>93</v>
      </c>
      <c r="B3" s="16">
        <v>335.15</v>
      </c>
      <c r="C3" s="16">
        <v>0.45</v>
      </c>
      <c r="D3" s="16">
        <v>24.25</v>
      </c>
      <c r="E3" t="s">
        <v>161</v>
      </c>
      <c r="F3" s="15" t="s">
        <v>64</v>
      </c>
      <c r="G3" s="16">
        <v>213</v>
      </c>
      <c r="H3" s="16">
        <v>2.31</v>
      </c>
      <c r="I3" s="16">
        <v>12.16</v>
      </c>
      <c r="J3" s="28">
        <v>-1.6166281755196299E-2</v>
      </c>
      <c r="K3" s="16">
        <v>216.5</v>
      </c>
      <c r="L3" s="16">
        <v>206.35</v>
      </c>
      <c r="M3" s="16">
        <v>208</v>
      </c>
      <c r="O3" t="s">
        <v>12</v>
      </c>
      <c r="P3">
        <v>12.55</v>
      </c>
      <c r="Q3">
        <v>14.35</v>
      </c>
      <c r="R3">
        <v>12.5</v>
      </c>
      <c r="S3">
        <v>13.35</v>
      </c>
      <c r="T3">
        <v>0.8</v>
      </c>
      <c r="U3">
        <v>6.37</v>
      </c>
      <c r="V3">
        <v>121.5</v>
      </c>
      <c r="W3" s="1">
        <v>-6.9686411149825767E-2</v>
      </c>
    </row>
    <row r="4" spans="1:24" x14ac:dyDescent="0.3">
      <c r="A4" s="12" t="s">
        <v>300</v>
      </c>
      <c r="B4" s="11">
        <v>30.95</v>
      </c>
      <c r="C4" s="11">
        <v>0.32</v>
      </c>
      <c r="D4" s="11">
        <v>0.55000000000000004</v>
      </c>
      <c r="F4" s="12" t="s">
        <v>130</v>
      </c>
      <c r="G4" s="11">
        <v>732</v>
      </c>
      <c r="H4" s="11">
        <v>2.0099999999999998</v>
      </c>
      <c r="I4" s="11">
        <v>8.98</v>
      </c>
      <c r="J4" s="13">
        <v>-2.5889085706499726E-3</v>
      </c>
      <c r="K4" s="11">
        <v>733.9</v>
      </c>
      <c r="L4" s="11">
        <v>710</v>
      </c>
      <c r="M4" s="11">
        <v>713.45</v>
      </c>
      <c r="O4" t="s">
        <v>76</v>
      </c>
      <c r="P4">
        <v>328.5</v>
      </c>
      <c r="Q4">
        <v>339.6</v>
      </c>
      <c r="R4">
        <v>326</v>
      </c>
      <c r="S4">
        <v>339.1</v>
      </c>
      <c r="T4">
        <v>11.1</v>
      </c>
      <c r="U4">
        <v>3.38</v>
      </c>
      <c r="V4">
        <v>2.67</v>
      </c>
      <c r="W4" s="1">
        <v>-1.472320376914027E-3</v>
      </c>
    </row>
    <row r="5" spans="1:24" x14ac:dyDescent="0.3">
      <c r="A5" s="12" t="s">
        <v>130</v>
      </c>
      <c r="B5" s="11">
        <v>732</v>
      </c>
      <c r="C5" s="11">
        <v>0.31</v>
      </c>
      <c r="D5" s="11">
        <v>8.98</v>
      </c>
      <c r="F5" s="12" t="s">
        <v>65</v>
      </c>
      <c r="G5" s="11">
        <v>55.6</v>
      </c>
      <c r="H5" s="11">
        <v>1.18</v>
      </c>
      <c r="I5" s="11">
        <v>12.91</v>
      </c>
      <c r="J5" s="13">
        <v>-2.1987686895338587E-2</v>
      </c>
      <c r="K5" s="11">
        <v>56.85</v>
      </c>
      <c r="L5" s="11">
        <v>54.45</v>
      </c>
      <c r="M5" s="11">
        <v>54.95</v>
      </c>
      <c r="O5" t="s">
        <v>27</v>
      </c>
      <c r="P5">
        <v>38.5</v>
      </c>
      <c r="Q5">
        <v>39.950000000000003</v>
      </c>
      <c r="R5">
        <v>38.299999999999997</v>
      </c>
      <c r="S5">
        <v>39.35</v>
      </c>
      <c r="T5">
        <v>1.05</v>
      </c>
      <c r="U5">
        <v>2.74</v>
      </c>
      <c r="V5">
        <v>29.37</v>
      </c>
      <c r="W5" s="1">
        <v>-1.5018773466833557E-2</v>
      </c>
    </row>
    <row r="6" spans="1:24" x14ac:dyDescent="0.3">
      <c r="A6" s="12" t="s">
        <v>75</v>
      </c>
      <c r="B6" s="11">
        <v>316.7</v>
      </c>
      <c r="C6" s="11">
        <v>0.11</v>
      </c>
      <c r="D6" s="11">
        <v>52.44</v>
      </c>
      <c r="F6" s="12" t="s">
        <v>38</v>
      </c>
      <c r="G6" s="11">
        <v>60.8</v>
      </c>
      <c r="H6" s="11">
        <v>1</v>
      </c>
      <c r="I6" s="11">
        <v>18.829999999999998</v>
      </c>
      <c r="J6" s="13">
        <v>-1.6181229773462813E-2</v>
      </c>
      <c r="K6" s="11">
        <v>61.8</v>
      </c>
      <c r="L6" s="11">
        <v>59.55</v>
      </c>
      <c r="M6" s="11">
        <v>60.3</v>
      </c>
      <c r="O6" t="s">
        <v>64</v>
      </c>
      <c r="P6">
        <v>208</v>
      </c>
      <c r="Q6">
        <v>216.5</v>
      </c>
      <c r="R6">
        <v>206.35</v>
      </c>
      <c r="S6">
        <v>213.5</v>
      </c>
      <c r="T6">
        <v>5.3</v>
      </c>
      <c r="U6">
        <v>2.5499999999999998</v>
      </c>
      <c r="V6">
        <v>12.16</v>
      </c>
      <c r="W6" s="1">
        <v>-1.3856812933025431E-2</v>
      </c>
      <c r="X6" t="s">
        <v>161</v>
      </c>
    </row>
    <row r="7" spans="1:24" x14ac:dyDescent="0.3">
      <c r="A7" s="12" t="s">
        <v>21</v>
      </c>
      <c r="B7" s="11">
        <v>96.95</v>
      </c>
      <c r="C7" s="11">
        <v>0.1</v>
      </c>
      <c r="D7" s="11">
        <v>32.71</v>
      </c>
      <c r="F7" s="12" t="s">
        <v>67</v>
      </c>
      <c r="G7" s="11">
        <v>56.25</v>
      </c>
      <c r="H7" s="11">
        <v>0.45</v>
      </c>
      <c r="I7" s="11">
        <v>314.83999999999997</v>
      </c>
      <c r="J7" s="13">
        <v>-4.4180118946474112E-2</v>
      </c>
      <c r="K7" s="11">
        <v>58.85</v>
      </c>
      <c r="L7" s="11">
        <v>53.75</v>
      </c>
      <c r="M7" s="11">
        <v>56</v>
      </c>
      <c r="O7" t="s">
        <v>126</v>
      </c>
      <c r="P7">
        <v>487.45</v>
      </c>
      <c r="Q7">
        <v>501.8</v>
      </c>
      <c r="R7">
        <v>485.55</v>
      </c>
      <c r="S7">
        <v>499.25</v>
      </c>
      <c r="T7">
        <v>10.75</v>
      </c>
      <c r="U7">
        <v>2.2000000000000002</v>
      </c>
      <c r="V7">
        <v>5.47</v>
      </c>
      <c r="W7" s="1">
        <v>-5.0817058589079922E-3</v>
      </c>
    </row>
    <row r="8" spans="1:24" x14ac:dyDescent="0.3">
      <c r="A8" s="12" t="s">
        <v>64</v>
      </c>
      <c r="B8" s="11">
        <v>213</v>
      </c>
      <c r="C8" s="11">
        <v>7.0000000000000007E-2</v>
      </c>
      <c r="D8" s="11">
        <v>12.16</v>
      </c>
      <c r="F8" s="12" t="s">
        <v>108</v>
      </c>
      <c r="G8" s="11">
        <v>526.5</v>
      </c>
      <c r="H8" s="11">
        <v>0.32</v>
      </c>
      <c r="I8" s="11">
        <v>12.98</v>
      </c>
      <c r="J8" s="13">
        <v>-5.2900056678630847E-3</v>
      </c>
      <c r="K8" s="11">
        <v>529.29999999999995</v>
      </c>
      <c r="L8" s="11">
        <v>522.20000000000005</v>
      </c>
      <c r="M8" s="11">
        <v>524.04999999999995</v>
      </c>
      <c r="O8" t="s">
        <v>68</v>
      </c>
      <c r="P8">
        <v>405</v>
      </c>
      <c r="Q8">
        <v>412.5</v>
      </c>
      <c r="R8">
        <v>401.7</v>
      </c>
      <c r="S8">
        <v>411.4</v>
      </c>
      <c r="T8">
        <v>8.65</v>
      </c>
      <c r="U8">
        <v>2.15</v>
      </c>
      <c r="V8">
        <v>1.1599999999999999</v>
      </c>
      <c r="W8" s="1">
        <v>-2.666666666666706E-3</v>
      </c>
    </row>
    <row r="9" spans="1:24" x14ac:dyDescent="0.3">
      <c r="A9" s="12" t="s">
        <v>97</v>
      </c>
      <c r="B9" s="11">
        <v>1242.95</v>
      </c>
      <c r="C9" s="11">
        <v>0.04</v>
      </c>
      <c r="D9" s="11">
        <v>4.13</v>
      </c>
      <c r="F9" s="12" t="s">
        <v>155</v>
      </c>
      <c r="G9" s="11">
        <v>84.25</v>
      </c>
      <c r="H9" s="11">
        <v>0.12</v>
      </c>
      <c r="I9" s="11">
        <v>7.63</v>
      </c>
      <c r="J9" s="13">
        <v>-1.2309495896834721E-2</v>
      </c>
      <c r="K9" s="11">
        <v>85.3</v>
      </c>
      <c r="L9" s="11">
        <v>83.05</v>
      </c>
      <c r="M9" s="11">
        <v>84.05</v>
      </c>
      <c r="O9" t="s">
        <v>130</v>
      </c>
      <c r="P9">
        <v>713.45</v>
      </c>
      <c r="Q9">
        <v>733.9</v>
      </c>
      <c r="R9">
        <v>710</v>
      </c>
      <c r="S9">
        <v>732.35</v>
      </c>
      <c r="T9">
        <v>14.75</v>
      </c>
      <c r="U9">
        <v>2.06</v>
      </c>
      <c r="V9">
        <v>8.98</v>
      </c>
      <c r="W9" s="1">
        <v>-2.1120043602670391E-3</v>
      </c>
    </row>
    <row r="10" spans="1:24" x14ac:dyDescent="0.3">
      <c r="A10" s="12" t="s">
        <v>134</v>
      </c>
      <c r="B10" s="11">
        <v>1450</v>
      </c>
      <c r="C10" s="11">
        <v>0.03</v>
      </c>
      <c r="D10" s="11">
        <v>2.83</v>
      </c>
      <c r="F10" s="12" t="s">
        <v>21</v>
      </c>
      <c r="G10" s="11">
        <v>96.95</v>
      </c>
      <c r="H10" s="11">
        <v>-0.1</v>
      </c>
      <c r="I10" s="11">
        <v>32.71</v>
      </c>
      <c r="J10" s="13">
        <v>1.5183246073298351E-2</v>
      </c>
      <c r="K10" s="11">
        <v>98.4</v>
      </c>
      <c r="L10" s="11">
        <v>95.5</v>
      </c>
      <c r="M10" s="11">
        <v>97.05</v>
      </c>
      <c r="O10" t="s">
        <v>95</v>
      </c>
      <c r="P10">
        <v>263</v>
      </c>
      <c r="Q10">
        <v>269.95</v>
      </c>
      <c r="R10">
        <v>262.25</v>
      </c>
      <c r="S10">
        <v>268.39999999999998</v>
      </c>
      <c r="T10">
        <v>5.4</v>
      </c>
      <c r="U10">
        <v>2.0499999999999998</v>
      </c>
      <c r="V10">
        <v>3.54</v>
      </c>
      <c r="W10" s="1">
        <v>-5.7418040377847923E-3</v>
      </c>
    </row>
    <row r="11" spans="1:24" x14ac:dyDescent="0.3">
      <c r="A11" s="12" t="s">
        <v>67</v>
      </c>
      <c r="B11" s="11">
        <v>56.25</v>
      </c>
      <c r="C11" s="11">
        <v>-1.06</v>
      </c>
      <c r="D11" s="11">
        <v>314.83999999999997</v>
      </c>
      <c r="F11" s="12" t="s">
        <v>304</v>
      </c>
      <c r="G11" s="11">
        <v>68.3</v>
      </c>
      <c r="H11" s="11">
        <v>-0.15</v>
      </c>
      <c r="I11" s="11">
        <v>2.96</v>
      </c>
      <c r="J11" s="13">
        <v>1.5613382899628103E-2</v>
      </c>
      <c r="K11" s="11">
        <v>69.5</v>
      </c>
      <c r="L11" s="11">
        <v>67.25</v>
      </c>
      <c r="M11" s="11">
        <v>68.05</v>
      </c>
      <c r="O11" t="s">
        <v>53</v>
      </c>
      <c r="P11">
        <v>368.25</v>
      </c>
      <c r="Q11">
        <v>377.5</v>
      </c>
      <c r="R11">
        <v>364.95</v>
      </c>
      <c r="S11">
        <v>373.4</v>
      </c>
      <c r="T11">
        <v>7.25</v>
      </c>
      <c r="U11">
        <v>1.98</v>
      </c>
      <c r="V11">
        <v>4.99</v>
      </c>
      <c r="W11" s="1">
        <v>-1.0860927152317901E-2</v>
      </c>
    </row>
    <row r="12" spans="1:24" x14ac:dyDescent="0.3">
      <c r="A12" s="12" t="s">
        <v>299</v>
      </c>
      <c r="B12" s="11">
        <v>53.95</v>
      </c>
      <c r="C12" s="11">
        <v>-0.46</v>
      </c>
      <c r="D12" s="11">
        <v>0.93</v>
      </c>
      <c r="F12" s="12" t="s">
        <v>97</v>
      </c>
      <c r="G12" s="11">
        <v>1242.95</v>
      </c>
      <c r="H12" s="11">
        <v>-0.25</v>
      </c>
      <c r="I12" s="11">
        <v>4.13</v>
      </c>
      <c r="J12" s="13">
        <v>4.3634600622197706E-3</v>
      </c>
      <c r="K12" s="11">
        <v>1249.8499999999999</v>
      </c>
      <c r="L12" s="11">
        <v>1237.55</v>
      </c>
      <c r="M12" s="11">
        <v>1249.5</v>
      </c>
      <c r="O12" t="s">
        <v>144</v>
      </c>
      <c r="P12">
        <v>1071.2</v>
      </c>
      <c r="Q12">
        <v>1105</v>
      </c>
      <c r="R12">
        <v>1062</v>
      </c>
      <c r="S12">
        <v>1094.25</v>
      </c>
      <c r="T12">
        <v>21.2</v>
      </c>
      <c r="U12">
        <v>1.98</v>
      </c>
      <c r="V12">
        <v>0.67</v>
      </c>
      <c r="W12" s="1">
        <v>-9.7285067873302822E-3</v>
      </c>
    </row>
    <row r="13" spans="1:24" x14ac:dyDescent="0.3">
      <c r="A13" s="12" t="s">
        <v>302</v>
      </c>
      <c r="B13" s="11">
        <v>21.55</v>
      </c>
      <c r="C13" s="11">
        <v>-0.46</v>
      </c>
      <c r="D13" s="11">
        <v>2</v>
      </c>
      <c r="F13" s="12" t="s">
        <v>300</v>
      </c>
      <c r="G13" s="11">
        <v>30.95</v>
      </c>
      <c r="H13" s="11">
        <v>-0.8</v>
      </c>
      <c r="I13" s="11">
        <v>0.55000000000000004</v>
      </c>
      <c r="J13" s="13">
        <v>3.2414910858995505E-3</v>
      </c>
      <c r="K13" s="11">
        <v>31.55</v>
      </c>
      <c r="L13" s="11">
        <v>30.85</v>
      </c>
      <c r="M13" s="11">
        <v>31.5</v>
      </c>
      <c r="O13" t="s">
        <v>111</v>
      </c>
      <c r="P13">
        <v>2263.1</v>
      </c>
      <c r="Q13">
        <v>2315.4499999999998</v>
      </c>
      <c r="R13">
        <v>2260.0500000000002</v>
      </c>
      <c r="S13">
        <v>2308</v>
      </c>
      <c r="T13">
        <v>43.35</v>
      </c>
      <c r="U13">
        <v>1.91</v>
      </c>
      <c r="V13">
        <v>3.36</v>
      </c>
      <c r="W13" s="1">
        <v>-3.2175171133039804E-3</v>
      </c>
    </row>
    <row r="14" spans="1:24" x14ac:dyDescent="0.3">
      <c r="A14" s="12" t="s">
        <v>303</v>
      </c>
      <c r="B14" s="11">
        <v>229.65</v>
      </c>
      <c r="C14" s="11">
        <v>-0.37</v>
      </c>
      <c r="D14" s="11">
        <v>2.02</v>
      </c>
      <c r="F14" s="12" t="s">
        <v>301</v>
      </c>
      <c r="G14" s="11">
        <v>118.25</v>
      </c>
      <c r="H14" s="11">
        <v>-0.8</v>
      </c>
      <c r="I14" s="11">
        <v>0.78</v>
      </c>
      <c r="J14" s="13">
        <v>9.8206660973527704E-3</v>
      </c>
      <c r="K14" s="11">
        <v>121.65</v>
      </c>
      <c r="L14" s="11">
        <v>117.1</v>
      </c>
      <c r="M14" s="11">
        <v>118.8</v>
      </c>
      <c r="O14" t="s">
        <v>120</v>
      </c>
      <c r="P14">
        <v>489</v>
      </c>
      <c r="Q14">
        <v>515.1</v>
      </c>
      <c r="R14">
        <v>485.7</v>
      </c>
      <c r="S14">
        <v>497</v>
      </c>
      <c r="T14">
        <v>8.9</v>
      </c>
      <c r="U14">
        <v>1.82</v>
      </c>
      <c r="V14">
        <v>6.21</v>
      </c>
      <c r="W14" s="1">
        <v>-3.513880799844693E-2</v>
      </c>
    </row>
    <row r="15" spans="1:24" x14ac:dyDescent="0.3">
      <c r="A15" s="12" t="s">
        <v>57</v>
      </c>
      <c r="B15" s="11">
        <v>42.7</v>
      </c>
      <c r="C15" s="11">
        <v>-0.35</v>
      </c>
      <c r="D15" s="11">
        <v>12.97</v>
      </c>
      <c r="F15" s="12" t="s">
        <v>303</v>
      </c>
      <c r="G15" s="11">
        <v>229.65</v>
      </c>
      <c r="H15" s="11">
        <v>-0.82</v>
      </c>
      <c r="I15" s="11">
        <v>2.02</v>
      </c>
      <c r="J15" s="13">
        <v>1.0338759348878179E-2</v>
      </c>
      <c r="K15" s="11">
        <v>236</v>
      </c>
      <c r="L15" s="11">
        <v>227.3</v>
      </c>
      <c r="M15" s="11">
        <v>232.9</v>
      </c>
      <c r="O15" t="s">
        <v>25</v>
      </c>
      <c r="P15">
        <v>7007</v>
      </c>
      <c r="Q15">
        <v>7108</v>
      </c>
      <c r="R15">
        <v>6952.35</v>
      </c>
      <c r="S15">
        <v>7011.95</v>
      </c>
      <c r="T15">
        <v>125.25</v>
      </c>
      <c r="U15">
        <v>1.82</v>
      </c>
      <c r="V15">
        <v>1.48</v>
      </c>
      <c r="W15" s="1">
        <v>-1.3512943162633628E-2</v>
      </c>
    </row>
    <row r="16" spans="1:24" x14ac:dyDescent="0.3">
      <c r="A16" s="12" t="s">
        <v>155</v>
      </c>
      <c r="B16" s="11">
        <v>84.25</v>
      </c>
      <c r="C16" s="11">
        <v>-0.3</v>
      </c>
      <c r="D16" s="11">
        <v>7.63</v>
      </c>
      <c r="F16" s="12" t="s">
        <v>72</v>
      </c>
      <c r="G16" s="11">
        <v>1659.25</v>
      </c>
      <c r="H16" s="11">
        <v>-0.9</v>
      </c>
      <c r="I16" s="11">
        <v>1.89</v>
      </c>
      <c r="J16" s="13">
        <v>1.6601267733171721E-3</v>
      </c>
      <c r="K16" s="11">
        <v>1679</v>
      </c>
      <c r="L16" s="11">
        <v>1656.5</v>
      </c>
      <c r="M16" s="11">
        <v>1677.95</v>
      </c>
      <c r="O16" t="s">
        <v>71</v>
      </c>
      <c r="P16">
        <v>520</v>
      </c>
      <c r="Q16">
        <v>532.29999999999995</v>
      </c>
      <c r="R16">
        <v>515.29999999999995</v>
      </c>
      <c r="S16">
        <v>530</v>
      </c>
      <c r="T16">
        <v>9.3000000000000007</v>
      </c>
      <c r="U16">
        <v>1.79</v>
      </c>
      <c r="V16">
        <v>0.34</v>
      </c>
      <c r="W16" s="1">
        <v>-4.3208716888971654E-3</v>
      </c>
    </row>
    <row r="17" spans="1:23" x14ac:dyDescent="0.3">
      <c r="A17" s="12" t="s">
        <v>307</v>
      </c>
      <c r="B17" s="11">
        <v>19.45</v>
      </c>
      <c r="C17" s="11">
        <v>-0.26</v>
      </c>
      <c r="D17" s="11">
        <v>0.67</v>
      </c>
      <c r="F17" s="12" t="s">
        <v>93</v>
      </c>
      <c r="G17" s="11">
        <v>335.15</v>
      </c>
      <c r="H17" s="11">
        <v>-1</v>
      </c>
      <c r="I17" s="11">
        <v>24.25</v>
      </c>
      <c r="J17" s="13">
        <v>3.0438124519600152E-2</v>
      </c>
      <c r="K17" s="11">
        <v>345.9</v>
      </c>
      <c r="L17" s="11">
        <v>325.25</v>
      </c>
      <c r="M17" s="11">
        <v>339.15</v>
      </c>
      <c r="O17" t="s">
        <v>140</v>
      </c>
      <c r="P17">
        <v>1024.95</v>
      </c>
      <c r="Q17">
        <v>1047.8499999999999</v>
      </c>
      <c r="R17">
        <v>1017.4</v>
      </c>
      <c r="S17">
        <v>1039</v>
      </c>
      <c r="T17">
        <v>18.149999999999999</v>
      </c>
      <c r="U17">
        <v>1.78</v>
      </c>
      <c r="V17">
        <v>1.18</v>
      </c>
      <c r="W17" s="1">
        <v>-8.4458653433219233E-3</v>
      </c>
    </row>
    <row r="18" spans="1:23" x14ac:dyDescent="0.3">
      <c r="A18" s="12" t="s">
        <v>304</v>
      </c>
      <c r="B18" s="11">
        <v>68.3</v>
      </c>
      <c r="C18" s="11">
        <v>-0.22</v>
      </c>
      <c r="D18" s="11">
        <v>2.96</v>
      </c>
      <c r="F18" s="12" t="s">
        <v>299</v>
      </c>
      <c r="G18" s="11">
        <v>53.95</v>
      </c>
      <c r="H18" s="11">
        <v>-1.01</v>
      </c>
      <c r="I18" s="11">
        <v>0.93</v>
      </c>
      <c r="J18" s="13">
        <v>1.3145539906103343E-2</v>
      </c>
      <c r="K18" s="11">
        <v>55.5</v>
      </c>
      <c r="L18" s="11">
        <v>53.25</v>
      </c>
      <c r="M18" s="11">
        <v>54.1</v>
      </c>
      <c r="O18" t="s">
        <v>152</v>
      </c>
      <c r="P18">
        <v>253</v>
      </c>
      <c r="Q18">
        <v>259.5</v>
      </c>
      <c r="R18">
        <v>251.85</v>
      </c>
      <c r="S18">
        <v>258.55</v>
      </c>
      <c r="T18">
        <v>4.45</v>
      </c>
      <c r="U18">
        <v>1.75</v>
      </c>
      <c r="V18">
        <v>6.29</v>
      </c>
      <c r="W18" s="1">
        <v>-3.6608863198458463E-3</v>
      </c>
    </row>
    <row r="19" spans="1:23" x14ac:dyDescent="0.3">
      <c r="A19" s="12" t="s">
        <v>305</v>
      </c>
      <c r="B19" s="11">
        <v>27.45</v>
      </c>
      <c r="C19" s="11">
        <v>-0.18</v>
      </c>
      <c r="D19" s="11">
        <v>0.52</v>
      </c>
      <c r="F19" s="12" t="s">
        <v>75</v>
      </c>
      <c r="G19" s="11">
        <v>316.7</v>
      </c>
      <c r="H19" s="11">
        <v>-1.03</v>
      </c>
      <c r="I19" s="11">
        <v>52.44</v>
      </c>
      <c r="J19" s="13">
        <v>6.1953931691818287E-3</v>
      </c>
      <c r="K19" s="11">
        <v>327.64999999999998</v>
      </c>
      <c r="L19" s="11">
        <v>314.75</v>
      </c>
      <c r="M19" s="11">
        <v>318.95</v>
      </c>
      <c r="O19" t="s">
        <v>14</v>
      </c>
      <c r="P19">
        <v>301.7</v>
      </c>
      <c r="Q19">
        <v>311.5</v>
      </c>
      <c r="R19">
        <v>296.75</v>
      </c>
      <c r="S19">
        <v>305.5</v>
      </c>
      <c r="T19">
        <v>5.05</v>
      </c>
      <c r="U19">
        <v>1.68</v>
      </c>
      <c r="V19">
        <v>1.86</v>
      </c>
      <c r="W19" s="1">
        <v>-1.9261637239165297E-2</v>
      </c>
    </row>
    <row r="20" spans="1:23" x14ac:dyDescent="0.3">
      <c r="A20" s="12" t="s">
        <v>108</v>
      </c>
      <c r="B20" s="11">
        <v>526.5</v>
      </c>
      <c r="C20" s="11">
        <v>-0.09</v>
      </c>
      <c r="D20" s="11">
        <v>12.98</v>
      </c>
      <c r="F20" s="12" t="s">
        <v>134</v>
      </c>
      <c r="G20" s="11">
        <v>1450</v>
      </c>
      <c r="H20" s="11">
        <v>-1.08</v>
      </c>
      <c r="I20" s="11">
        <v>2.83</v>
      </c>
      <c r="J20" s="13">
        <v>3.2172138236414849E-3</v>
      </c>
      <c r="K20" s="11">
        <v>1484.85</v>
      </c>
      <c r="L20" s="11">
        <v>1445.35</v>
      </c>
      <c r="M20" s="11">
        <v>1457</v>
      </c>
      <c r="O20" t="s">
        <v>142</v>
      </c>
      <c r="P20">
        <v>109.25</v>
      </c>
      <c r="Q20">
        <v>113.05</v>
      </c>
      <c r="R20">
        <v>108</v>
      </c>
      <c r="S20">
        <v>111.6</v>
      </c>
      <c r="T20">
        <v>1.75</v>
      </c>
      <c r="U20">
        <v>1.59</v>
      </c>
      <c r="V20">
        <v>6.14</v>
      </c>
      <c r="W20" s="1">
        <v>-1.2826183104820865E-2</v>
      </c>
    </row>
    <row r="21" spans="1:23" x14ac:dyDescent="0.3">
      <c r="F21" s="12" t="s">
        <v>307</v>
      </c>
      <c r="G21" s="11">
        <v>19.45</v>
      </c>
      <c r="H21" s="11">
        <v>-1.27</v>
      </c>
      <c r="I21" s="11">
        <v>0.67</v>
      </c>
      <c r="J21" s="13">
        <v>7.7720207253886286E-3</v>
      </c>
      <c r="K21" s="11">
        <v>19.95</v>
      </c>
      <c r="L21" s="11">
        <v>19.3</v>
      </c>
      <c r="M21" s="11">
        <v>19.899999999999999</v>
      </c>
      <c r="O21" t="s">
        <v>24</v>
      </c>
      <c r="P21">
        <v>271.89999999999998</v>
      </c>
      <c r="Q21">
        <v>277.8</v>
      </c>
      <c r="R21">
        <v>271.3</v>
      </c>
      <c r="S21">
        <v>275.55</v>
      </c>
      <c r="T21">
        <v>4.25</v>
      </c>
      <c r="U21">
        <v>1.57</v>
      </c>
      <c r="V21">
        <v>0.81</v>
      </c>
      <c r="W21" s="1">
        <v>-8.099352051835873E-3</v>
      </c>
    </row>
    <row r="22" spans="1:23" x14ac:dyDescent="0.3">
      <c r="A22" t="s">
        <v>190</v>
      </c>
      <c r="B22" t="s">
        <v>253</v>
      </c>
      <c r="C22" t="s">
        <v>148</v>
      </c>
      <c r="F22" s="12" t="s">
        <v>57</v>
      </c>
      <c r="G22" s="11">
        <v>42.7</v>
      </c>
      <c r="H22" s="11">
        <v>-1.39</v>
      </c>
      <c r="I22" s="11">
        <v>12.97</v>
      </c>
      <c r="J22" s="13">
        <v>4.7058823529413374E-3</v>
      </c>
      <c r="K22" s="11">
        <v>43.7</v>
      </c>
      <c r="L22" s="11">
        <v>42.5</v>
      </c>
      <c r="M22" s="11">
        <v>43.25</v>
      </c>
      <c r="O22" t="s">
        <v>115</v>
      </c>
      <c r="P22">
        <v>20.25</v>
      </c>
      <c r="Q22">
        <v>21.1</v>
      </c>
      <c r="R22">
        <v>20.05</v>
      </c>
      <c r="S22">
        <v>20.65</v>
      </c>
      <c r="T22">
        <v>0.3</v>
      </c>
      <c r="U22">
        <v>1.47</v>
      </c>
      <c r="V22">
        <v>7.93</v>
      </c>
      <c r="W22" s="1">
        <v>-2.1327014218009643E-2</v>
      </c>
    </row>
    <row r="23" spans="1:23" x14ac:dyDescent="0.3">
      <c r="A23" t="s">
        <v>263</v>
      </c>
      <c r="B23">
        <v>138.75</v>
      </c>
      <c r="C23">
        <v>0.88</v>
      </c>
      <c r="F23" s="12" t="s">
        <v>305</v>
      </c>
      <c r="G23" s="11">
        <v>27.45</v>
      </c>
      <c r="H23" s="11">
        <v>-1.96</v>
      </c>
      <c r="I23" s="11">
        <v>0.52</v>
      </c>
      <c r="J23" s="13">
        <v>9.1911764705883137E-3</v>
      </c>
      <c r="K23" s="11">
        <v>28.3</v>
      </c>
      <c r="L23" s="11">
        <v>27.2</v>
      </c>
      <c r="M23" s="11">
        <v>28.2</v>
      </c>
      <c r="O23" t="s">
        <v>13</v>
      </c>
      <c r="P23">
        <v>61366</v>
      </c>
      <c r="Q23">
        <v>63097.15</v>
      </c>
      <c r="R23">
        <v>61252</v>
      </c>
      <c r="S23">
        <v>62399.8</v>
      </c>
      <c r="T23">
        <v>866.6</v>
      </c>
      <c r="U23">
        <v>1.41</v>
      </c>
      <c r="V23">
        <v>0</v>
      </c>
      <c r="W23" s="1">
        <v>-1.1052004726045395E-2</v>
      </c>
    </row>
    <row r="24" spans="1:23" x14ac:dyDescent="0.3">
      <c r="A24" t="s">
        <v>264</v>
      </c>
      <c r="B24">
        <v>56.7</v>
      </c>
      <c r="C24">
        <v>0.73</v>
      </c>
      <c r="F24" s="12" t="s">
        <v>302</v>
      </c>
      <c r="G24" s="11">
        <v>21.55</v>
      </c>
      <c r="H24" s="11">
        <v>-3.36</v>
      </c>
      <c r="I24" s="11">
        <v>2</v>
      </c>
      <c r="J24" s="13">
        <v>4.6620046620047262E-3</v>
      </c>
      <c r="K24" s="11">
        <v>22.5</v>
      </c>
      <c r="L24" s="11">
        <v>21.45</v>
      </c>
      <c r="M24" s="11">
        <v>22.5</v>
      </c>
      <c r="O24" t="s">
        <v>104</v>
      </c>
      <c r="P24">
        <v>255.6</v>
      </c>
      <c r="Q24">
        <v>260.25</v>
      </c>
      <c r="R24">
        <v>253.55</v>
      </c>
      <c r="S24">
        <v>258.7</v>
      </c>
      <c r="T24">
        <v>3.4</v>
      </c>
      <c r="U24">
        <v>1.33</v>
      </c>
      <c r="V24">
        <v>0.89</v>
      </c>
      <c r="W24" s="1">
        <v>-5.9558117195005478E-3</v>
      </c>
    </row>
    <row r="25" spans="1:23" x14ac:dyDescent="0.3">
      <c r="A25" t="s">
        <v>258</v>
      </c>
      <c r="B25">
        <v>15.85</v>
      </c>
      <c r="C25">
        <v>0.63</v>
      </c>
      <c r="O25" t="s">
        <v>45</v>
      </c>
      <c r="P25">
        <v>140.6</v>
      </c>
      <c r="Q25">
        <v>145</v>
      </c>
      <c r="R25">
        <v>138.80000000000001</v>
      </c>
      <c r="S25">
        <v>141.65</v>
      </c>
      <c r="T25">
        <v>1.8</v>
      </c>
      <c r="U25">
        <v>1.29</v>
      </c>
      <c r="V25">
        <v>18.78</v>
      </c>
      <c r="W25" s="1">
        <v>-2.3103448275862082E-2</v>
      </c>
    </row>
    <row r="26" spans="1:23" x14ac:dyDescent="0.3">
      <c r="A26" t="s">
        <v>262</v>
      </c>
      <c r="B26">
        <v>50.55</v>
      </c>
      <c r="C26">
        <v>0.36</v>
      </c>
      <c r="O26" t="s">
        <v>52</v>
      </c>
      <c r="P26">
        <v>426.9</v>
      </c>
      <c r="Q26">
        <v>436.5</v>
      </c>
      <c r="R26">
        <v>424.05</v>
      </c>
      <c r="S26">
        <v>431.4</v>
      </c>
      <c r="T26">
        <v>5.3</v>
      </c>
      <c r="U26">
        <v>1.24</v>
      </c>
      <c r="V26">
        <v>2.41</v>
      </c>
      <c r="W26" s="1">
        <v>-1.1683848797250929E-2</v>
      </c>
    </row>
    <row r="27" spans="1:23" x14ac:dyDescent="0.3">
      <c r="A27" t="s">
        <v>151</v>
      </c>
      <c r="B27">
        <v>16</v>
      </c>
      <c r="C27">
        <v>0.13</v>
      </c>
      <c r="O27" t="s">
        <v>100</v>
      </c>
      <c r="P27">
        <v>113.2</v>
      </c>
      <c r="Q27">
        <v>116.7</v>
      </c>
      <c r="R27">
        <v>112.1</v>
      </c>
      <c r="S27">
        <v>114.45</v>
      </c>
      <c r="T27">
        <v>1.35</v>
      </c>
      <c r="U27">
        <v>1.19</v>
      </c>
      <c r="V27">
        <v>12</v>
      </c>
      <c r="W27" s="1">
        <v>-1.9280205655527016E-2</v>
      </c>
    </row>
    <row r="28" spans="1:23" x14ac:dyDescent="0.3">
      <c r="A28" t="s">
        <v>257</v>
      </c>
      <c r="B28">
        <v>2.8</v>
      </c>
      <c r="C28">
        <v>0.04</v>
      </c>
      <c r="O28" t="s">
        <v>109</v>
      </c>
      <c r="P28">
        <v>76.400000000000006</v>
      </c>
      <c r="Q28">
        <v>78.25</v>
      </c>
      <c r="R28">
        <v>75.95</v>
      </c>
      <c r="S28">
        <v>77.400000000000006</v>
      </c>
      <c r="T28">
        <v>0.9</v>
      </c>
      <c r="U28">
        <v>1.18</v>
      </c>
      <c r="V28">
        <v>14.17</v>
      </c>
      <c r="W28" s="1">
        <v>-1.0862619808306606E-2</v>
      </c>
    </row>
    <row r="29" spans="1:23" x14ac:dyDescent="0.3">
      <c r="A29" t="s">
        <v>255</v>
      </c>
      <c r="B29">
        <v>-0.8</v>
      </c>
      <c r="C29">
        <v>0</v>
      </c>
      <c r="O29" t="s">
        <v>69</v>
      </c>
      <c r="P29">
        <v>1318.9</v>
      </c>
      <c r="Q29">
        <v>1335</v>
      </c>
      <c r="R29">
        <v>1314</v>
      </c>
      <c r="S29">
        <v>1330.95</v>
      </c>
      <c r="T29">
        <v>15.25</v>
      </c>
      <c r="U29">
        <v>1.1599999999999999</v>
      </c>
      <c r="V29">
        <v>0.35</v>
      </c>
      <c r="W29" s="1">
        <v>-3.0337078651685445E-3</v>
      </c>
    </row>
    <row r="30" spans="1:23" x14ac:dyDescent="0.3">
      <c r="A30" t="s">
        <v>150</v>
      </c>
      <c r="B30">
        <v>-24.9</v>
      </c>
      <c r="C30">
        <v>-0.08</v>
      </c>
      <c r="O30" t="s">
        <v>31</v>
      </c>
      <c r="P30">
        <v>1556.15</v>
      </c>
      <c r="Q30">
        <v>1577.4</v>
      </c>
      <c r="R30">
        <v>1546.5</v>
      </c>
      <c r="S30">
        <v>1572.95</v>
      </c>
      <c r="T30">
        <v>18.05</v>
      </c>
      <c r="U30">
        <v>1.1599999999999999</v>
      </c>
      <c r="V30">
        <v>5.78</v>
      </c>
      <c r="W30" s="1">
        <v>-2.8210980093825722E-3</v>
      </c>
    </row>
    <row r="31" spans="1:23" x14ac:dyDescent="0.3">
      <c r="A31" t="s">
        <v>256</v>
      </c>
      <c r="B31">
        <v>-2.6</v>
      </c>
      <c r="C31">
        <v>-0.11</v>
      </c>
      <c r="O31" t="s">
        <v>41</v>
      </c>
      <c r="P31">
        <v>1784</v>
      </c>
      <c r="Q31">
        <v>1822</v>
      </c>
      <c r="R31">
        <v>1780.05</v>
      </c>
      <c r="S31">
        <v>1804.3</v>
      </c>
      <c r="T31">
        <v>20.45</v>
      </c>
      <c r="U31">
        <v>1.1499999999999999</v>
      </c>
      <c r="V31">
        <v>0.56999999999999995</v>
      </c>
      <c r="W31" s="1">
        <v>-9.7145993413830789E-3</v>
      </c>
    </row>
    <row r="32" spans="1:23" x14ac:dyDescent="0.3">
      <c r="A32" t="s">
        <v>261</v>
      </c>
      <c r="B32">
        <v>-161.44999999999999</v>
      </c>
      <c r="C32">
        <v>-0.53</v>
      </c>
      <c r="O32" t="s">
        <v>122</v>
      </c>
      <c r="P32">
        <v>156.19999999999999</v>
      </c>
      <c r="Q32">
        <v>159.94999999999999</v>
      </c>
      <c r="R32">
        <v>155.4</v>
      </c>
      <c r="S32">
        <v>158</v>
      </c>
      <c r="T32">
        <v>1.8</v>
      </c>
      <c r="U32">
        <v>1.1499999999999999</v>
      </c>
      <c r="V32">
        <v>0.45</v>
      </c>
      <c r="W32" s="1">
        <v>-1.2191309784307491E-2</v>
      </c>
    </row>
    <row r="33" spans="1:23" x14ac:dyDescent="0.3">
      <c r="A33" t="s">
        <v>259</v>
      </c>
      <c r="B33">
        <v>-11.6</v>
      </c>
      <c r="C33">
        <v>-0.65</v>
      </c>
      <c r="O33" t="s">
        <v>124</v>
      </c>
      <c r="P33">
        <v>269.45</v>
      </c>
      <c r="Q33">
        <v>273.39999999999998</v>
      </c>
      <c r="R33">
        <v>267.7</v>
      </c>
      <c r="S33">
        <v>271.05</v>
      </c>
      <c r="T33">
        <v>3</v>
      </c>
      <c r="U33">
        <v>1.1200000000000001</v>
      </c>
      <c r="V33">
        <v>1.93</v>
      </c>
      <c r="W33" s="1">
        <v>-8.5954645208484726E-3</v>
      </c>
    </row>
    <row r="34" spans="1:23" x14ac:dyDescent="0.3">
      <c r="A34" t="s">
        <v>260</v>
      </c>
      <c r="B34">
        <v>-132.44999999999999</v>
      </c>
      <c r="C34">
        <v>-0.87</v>
      </c>
      <c r="O34" t="s">
        <v>65</v>
      </c>
      <c r="P34">
        <v>54.95</v>
      </c>
      <c r="Q34">
        <v>56.85</v>
      </c>
      <c r="R34">
        <v>54.45</v>
      </c>
      <c r="S34">
        <v>55.55</v>
      </c>
      <c r="T34">
        <v>0.6</v>
      </c>
      <c r="U34">
        <v>1.0900000000000001</v>
      </c>
      <c r="V34">
        <v>12.91</v>
      </c>
      <c r="W34" s="1">
        <v>-2.2867194371152255E-2</v>
      </c>
    </row>
    <row r="35" spans="1:23" x14ac:dyDescent="0.3">
      <c r="A35" t="s">
        <v>254</v>
      </c>
      <c r="B35">
        <v>-2.95</v>
      </c>
      <c r="C35">
        <v>-1.04</v>
      </c>
      <c r="O35" t="s">
        <v>11</v>
      </c>
      <c r="P35">
        <v>334</v>
      </c>
      <c r="Q35">
        <v>341</v>
      </c>
      <c r="R35">
        <v>331.35</v>
      </c>
      <c r="S35">
        <v>338</v>
      </c>
      <c r="T35">
        <v>3.6</v>
      </c>
      <c r="U35">
        <v>1.08</v>
      </c>
      <c r="V35">
        <v>0.47</v>
      </c>
      <c r="W35" s="1">
        <v>-8.7976539589442737E-3</v>
      </c>
    </row>
    <row r="36" spans="1:23" x14ac:dyDescent="0.3">
      <c r="O36" t="s">
        <v>60</v>
      </c>
      <c r="P36">
        <v>1464.7</v>
      </c>
      <c r="Q36">
        <v>1482</v>
      </c>
      <c r="R36">
        <v>1451</v>
      </c>
      <c r="S36">
        <v>1478.9</v>
      </c>
      <c r="T36">
        <v>14.75</v>
      </c>
      <c r="U36">
        <v>1.01</v>
      </c>
      <c r="V36">
        <v>0.11</v>
      </c>
      <c r="W36" s="1">
        <v>-2.0917678812415463E-3</v>
      </c>
    </row>
    <row r="37" spans="1:23" x14ac:dyDescent="0.3">
      <c r="O37" t="s">
        <v>88</v>
      </c>
      <c r="P37">
        <v>465</v>
      </c>
      <c r="Q37">
        <v>472</v>
      </c>
      <c r="R37">
        <v>460</v>
      </c>
      <c r="S37">
        <v>468.75</v>
      </c>
      <c r="T37">
        <v>4.5999999999999996</v>
      </c>
      <c r="U37">
        <v>0.99</v>
      </c>
      <c r="V37">
        <v>1.22</v>
      </c>
      <c r="W37" s="1">
        <v>-6.8855932203389925E-3</v>
      </c>
    </row>
    <row r="38" spans="1:23" x14ac:dyDescent="0.3">
      <c r="O38" t="s">
        <v>136</v>
      </c>
      <c r="P38">
        <v>124.4</v>
      </c>
      <c r="Q38">
        <v>126.35</v>
      </c>
      <c r="R38">
        <v>124.4</v>
      </c>
      <c r="S38">
        <v>125.55</v>
      </c>
      <c r="T38">
        <v>1.1499999999999999</v>
      </c>
      <c r="U38">
        <v>0.92</v>
      </c>
      <c r="V38">
        <v>4.6100000000000003</v>
      </c>
      <c r="W38" s="1">
        <v>-6.3316185199840946E-3</v>
      </c>
    </row>
    <row r="39" spans="1:23" x14ac:dyDescent="0.3">
      <c r="O39" t="s">
        <v>119</v>
      </c>
      <c r="P39">
        <v>187</v>
      </c>
      <c r="Q39">
        <v>188.85</v>
      </c>
      <c r="R39">
        <v>185.55</v>
      </c>
      <c r="S39">
        <v>188.3</v>
      </c>
      <c r="T39">
        <v>1.7</v>
      </c>
      <c r="U39">
        <v>0.91</v>
      </c>
      <c r="V39">
        <v>3.07</v>
      </c>
      <c r="W39" s="1">
        <v>-2.9123643102990648E-3</v>
      </c>
    </row>
    <row r="40" spans="1:23" x14ac:dyDescent="0.3">
      <c r="O40" t="s">
        <v>56</v>
      </c>
      <c r="P40">
        <v>35.1</v>
      </c>
      <c r="Q40">
        <v>35.5</v>
      </c>
      <c r="R40">
        <v>34</v>
      </c>
      <c r="S40">
        <v>34.65</v>
      </c>
      <c r="T40">
        <v>0.3</v>
      </c>
      <c r="U40">
        <v>0.87</v>
      </c>
      <c r="V40">
        <v>16.09</v>
      </c>
      <c r="W40" s="1">
        <v>-2.3943661971831065E-2</v>
      </c>
    </row>
    <row r="41" spans="1:23" x14ac:dyDescent="0.3">
      <c r="O41" t="s">
        <v>87</v>
      </c>
      <c r="P41">
        <v>728.9</v>
      </c>
      <c r="Q41">
        <v>741.5</v>
      </c>
      <c r="R41">
        <v>723.9</v>
      </c>
      <c r="S41">
        <v>735</v>
      </c>
      <c r="T41">
        <v>6.1</v>
      </c>
      <c r="U41">
        <v>0.84</v>
      </c>
      <c r="V41">
        <v>0.28999999999999998</v>
      </c>
      <c r="W41" s="1">
        <v>-8.7660148347943334E-3</v>
      </c>
    </row>
    <row r="42" spans="1:23" x14ac:dyDescent="0.3">
      <c r="O42" t="s">
        <v>101</v>
      </c>
      <c r="P42">
        <v>725</v>
      </c>
      <c r="Q42">
        <v>736.6</v>
      </c>
      <c r="R42">
        <v>710</v>
      </c>
      <c r="S42">
        <v>731</v>
      </c>
      <c r="T42">
        <v>6</v>
      </c>
      <c r="U42">
        <v>0.83</v>
      </c>
      <c r="V42">
        <v>0.62</v>
      </c>
      <c r="W42" s="1">
        <v>-7.6024979636166723E-3</v>
      </c>
    </row>
    <row r="43" spans="1:23" x14ac:dyDescent="0.3">
      <c r="O43" t="s">
        <v>20</v>
      </c>
      <c r="P43">
        <v>132.69999999999999</v>
      </c>
      <c r="Q43">
        <v>136</v>
      </c>
      <c r="R43">
        <v>132</v>
      </c>
      <c r="S43">
        <v>133.94999999999999</v>
      </c>
      <c r="T43">
        <v>1.1000000000000001</v>
      </c>
      <c r="U43">
        <v>0.83</v>
      </c>
      <c r="V43">
        <v>9.51</v>
      </c>
      <c r="W43" s="1">
        <v>-1.5073529411764763E-2</v>
      </c>
    </row>
    <row r="44" spans="1:23" x14ac:dyDescent="0.3">
      <c r="O44" t="s">
        <v>38</v>
      </c>
      <c r="P44">
        <v>60.3</v>
      </c>
      <c r="Q44">
        <v>61.8</v>
      </c>
      <c r="R44">
        <v>59.55</v>
      </c>
      <c r="S44">
        <v>60.7</v>
      </c>
      <c r="T44">
        <v>0.5</v>
      </c>
      <c r="U44">
        <v>0.83</v>
      </c>
      <c r="V44">
        <v>18.829999999999998</v>
      </c>
      <c r="W44" s="1">
        <v>-1.7799352750809017E-2</v>
      </c>
    </row>
    <row r="45" spans="1:23" x14ac:dyDescent="0.3">
      <c r="O45" t="s">
        <v>51</v>
      </c>
      <c r="P45">
        <v>1579</v>
      </c>
      <c r="Q45">
        <v>1617</v>
      </c>
      <c r="R45">
        <v>1567.8</v>
      </c>
      <c r="S45">
        <v>1582</v>
      </c>
      <c r="T45">
        <v>12.8</v>
      </c>
      <c r="U45">
        <v>0.82</v>
      </c>
      <c r="V45">
        <v>1</v>
      </c>
      <c r="W45" s="1">
        <v>-2.1645021645021689E-2</v>
      </c>
    </row>
    <row r="46" spans="1:23" x14ac:dyDescent="0.3">
      <c r="O46" t="s">
        <v>128</v>
      </c>
      <c r="P46">
        <v>510.2</v>
      </c>
      <c r="Q46">
        <v>518.5</v>
      </c>
      <c r="R46">
        <v>510.05</v>
      </c>
      <c r="S46">
        <v>514.29999999999995</v>
      </c>
      <c r="T46">
        <v>4.0999999999999996</v>
      </c>
      <c r="U46">
        <v>0.8</v>
      </c>
      <c r="V46">
        <v>2.57</v>
      </c>
      <c r="W46" s="1">
        <v>-8.1002892960463369E-3</v>
      </c>
    </row>
    <row r="47" spans="1:23" x14ac:dyDescent="0.3">
      <c r="O47" t="s">
        <v>79</v>
      </c>
      <c r="P47">
        <v>741.3</v>
      </c>
      <c r="Q47">
        <v>754.8</v>
      </c>
      <c r="R47">
        <v>735.4</v>
      </c>
      <c r="S47">
        <v>747.25</v>
      </c>
      <c r="T47">
        <v>5.95</v>
      </c>
      <c r="U47">
        <v>0.8</v>
      </c>
      <c r="V47">
        <v>0.46</v>
      </c>
      <c r="W47" s="1">
        <v>-1.0002649708532041E-2</v>
      </c>
    </row>
    <row r="48" spans="1:23" x14ac:dyDescent="0.3">
      <c r="O48" t="s">
        <v>146</v>
      </c>
      <c r="P48">
        <v>129.6</v>
      </c>
      <c r="Q48">
        <v>131.69999999999999</v>
      </c>
      <c r="R48">
        <v>128.30000000000001</v>
      </c>
      <c r="S48">
        <v>130</v>
      </c>
      <c r="T48">
        <v>1</v>
      </c>
      <c r="U48">
        <v>0.78</v>
      </c>
      <c r="V48">
        <v>2.31</v>
      </c>
      <c r="W48" s="1">
        <v>-1.2908124525436548E-2</v>
      </c>
    </row>
    <row r="49" spans="15:23" x14ac:dyDescent="0.3">
      <c r="O49" t="s">
        <v>37</v>
      </c>
      <c r="P49">
        <v>8896.7000000000007</v>
      </c>
      <c r="Q49">
        <v>8994.75</v>
      </c>
      <c r="R49">
        <v>8821.0499999999993</v>
      </c>
      <c r="S49">
        <v>8921</v>
      </c>
      <c r="T49">
        <v>67.900000000000006</v>
      </c>
      <c r="U49">
        <v>0.77</v>
      </c>
      <c r="V49">
        <v>0.15</v>
      </c>
      <c r="W49" s="1">
        <v>-8.1992273270519167E-3</v>
      </c>
    </row>
    <row r="50" spans="15:23" x14ac:dyDescent="0.3">
      <c r="O50" t="s">
        <v>103</v>
      </c>
      <c r="P50">
        <v>441</v>
      </c>
      <c r="Q50">
        <v>454.8</v>
      </c>
      <c r="R50">
        <v>438.8</v>
      </c>
      <c r="S50">
        <v>445</v>
      </c>
      <c r="T50">
        <v>3.4</v>
      </c>
      <c r="U50">
        <v>0.77</v>
      </c>
      <c r="V50">
        <v>1.04</v>
      </c>
      <c r="W50" s="1">
        <v>-2.1547933157431864E-2</v>
      </c>
    </row>
    <row r="51" spans="15:23" x14ac:dyDescent="0.3">
      <c r="O51" t="s">
        <v>89</v>
      </c>
      <c r="P51">
        <v>59.7</v>
      </c>
      <c r="Q51">
        <v>61.4</v>
      </c>
      <c r="R51">
        <v>59.15</v>
      </c>
      <c r="S51">
        <v>60.25</v>
      </c>
      <c r="T51">
        <v>0.45</v>
      </c>
      <c r="U51">
        <v>0.75</v>
      </c>
      <c r="V51">
        <v>6.56</v>
      </c>
      <c r="W51" s="1">
        <v>-1.8729641693811083E-2</v>
      </c>
    </row>
    <row r="52" spans="15:23" x14ac:dyDescent="0.3">
      <c r="O52" t="s">
        <v>137</v>
      </c>
      <c r="P52">
        <v>1856.8</v>
      </c>
      <c r="Q52">
        <v>1881.9</v>
      </c>
      <c r="R52">
        <v>1847.25</v>
      </c>
      <c r="S52">
        <v>1865</v>
      </c>
      <c r="T52">
        <v>13.55</v>
      </c>
      <c r="U52">
        <v>0.73</v>
      </c>
      <c r="V52">
        <v>0.28000000000000003</v>
      </c>
      <c r="W52" s="1">
        <v>-8.9802858812901842E-3</v>
      </c>
    </row>
    <row r="53" spans="15:23" x14ac:dyDescent="0.3">
      <c r="O53" t="s">
        <v>55</v>
      </c>
      <c r="P53">
        <v>326.7</v>
      </c>
      <c r="Q53">
        <v>331.75</v>
      </c>
      <c r="R53">
        <v>323</v>
      </c>
      <c r="S53">
        <v>327.2</v>
      </c>
      <c r="T53">
        <v>2.2999999999999998</v>
      </c>
      <c r="U53">
        <v>0.71</v>
      </c>
      <c r="V53">
        <v>1.87</v>
      </c>
      <c r="W53" s="1">
        <v>-1.3715146948003021E-2</v>
      </c>
    </row>
    <row r="54" spans="15:23" x14ac:dyDescent="0.3">
      <c r="O54" t="s">
        <v>81</v>
      </c>
      <c r="P54">
        <v>2376.6999999999998</v>
      </c>
      <c r="Q54">
        <v>2395</v>
      </c>
      <c r="R54">
        <v>2359.6</v>
      </c>
      <c r="S54">
        <v>2379</v>
      </c>
      <c r="T54">
        <v>16.8</v>
      </c>
      <c r="U54">
        <v>0.71</v>
      </c>
      <c r="V54">
        <v>0.43</v>
      </c>
      <c r="W54" s="1">
        <v>-6.6805845511481721E-3</v>
      </c>
    </row>
    <row r="55" spans="15:23" x14ac:dyDescent="0.3">
      <c r="O55" t="s">
        <v>59</v>
      </c>
      <c r="P55">
        <v>2899</v>
      </c>
      <c r="Q55">
        <v>2942</v>
      </c>
      <c r="R55">
        <v>2891.9</v>
      </c>
      <c r="S55">
        <v>2911</v>
      </c>
      <c r="T55">
        <v>20.2</v>
      </c>
      <c r="U55">
        <v>0.7</v>
      </c>
      <c r="V55">
        <v>0.53</v>
      </c>
      <c r="W55" s="1">
        <v>-1.0537049626104689E-2</v>
      </c>
    </row>
    <row r="56" spans="15:23" x14ac:dyDescent="0.3">
      <c r="O56" t="s">
        <v>29</v>
      </c>
      <c r="P56">
        <v>43.2</v>
      </c>
      <c r="Q56">
        <v>44.1</v>
      </c>
      <c r="R56">
        <v>42.7</v>
      </c>
      <c r="S56">
        <v>43.55</v>
      </c>
      <c r="T56">
        <v>0.3</v>
      </c>
      <c r="U56">
        <v>0.69</v>
      </c>
      <c r="V56">
        <v>3.51</v>
      </c>
      <c r="W56" s="1">
        <v>-1.2471655328798237E-2</v>
      </c>
    </row>
    <row r="57" spans="15:23" x14ac:dyDescent="0.3">
      <c r="O57" t="s">
        <v>26</v>
      </c>
      <c r="P57">
        <v>403</v>
      </c>
      <c r="Q57">
        <v>411.8</v>
      </c>
      <c r="R57">
        <v>401.95</v>
      </c>
      <c r="S57">
        <v>406</v>
      </c>
      <c r="T57">
        <v>2.75</v>
      </c>
      <c r="U57">
        <v>0.68</v>
      </c>
      <c r="V57">
        <v>12.32</v>
      </c>
      <c r="W57" s="1">
        <v>-1.4084507042253502E-2</v>
      </c>
    </row>
    <row r="58" spans="15:23" x14ac:dyDescent="0.3">
      <c r="O58" t="s">
        <v>96</v>
      </c>
      <c r="P58">
        <v>850.8</v>
      </c>
      <c r="Q58">
        <v>879.5</v>
      </c>
      <c r="R58">
        <v>847.25</v>
      </c>
      <c r="S58">
        <v>855.65</v>
      </c>
      <c r="T58">
        <v>5.7</v>
      </c>
      <c r="U58">
        <v>0.67</v>
      </c>
      <c r="V58">
        <v>2.2599999999999998</v>
      </c>
      <c r="W58" s="1">
        <v>-2.7117680500284291E-2</v>
      </c>
    </row>
    <row r="59" spans="15:23" x14ac:dyDescent="0.3">
      <c r="O59" t="s">
        <v>102</v>
      </c>
      <c r="P59">
        <v>14230</v>
      </c>
      <c r="Q59">
        <v>14269</v>
      </c>
      <c r="R59">
        <v>14005</v>
      </c>
      <c r="S59">
        <v>14250</v>
      </c>
      <c r="T59">
        <v>83.7</v>
      </c>
      <c r="U59">
        <v>0.59</v>
      </c>
      <c r="V59">
        <v>0.1</v>
      </c>
      <c r="W59" s="1">
        <v>-1.3315579227696217E-3</v>
      </c>
    </row>
    <row r="60" spans="15:23" x14ac:dyDescent="0.3">
      <c r="O60" t="s">
        <v>67</v>
      </c>
      <c r="P60">
        <v>56</v>
      </c>
      <c r="Q60">
        <v>58.85</v>
      </c>
      <c r="R60">
        <v>53.75</v>
      </c>
      <c r="S60">
        <v>56.3</v>
      </c>
      <c r="T60">
        <v>0.3</v>
      </c>
      <c r="U60">
        <v>0.54</v>
      </c>
      <c r="V60">
        <v>314.83999999999997</v>
      </c>
      <c r="W60" s="1">
        <v>-4.3330501274426614E-2</v>
      </c>
    </row>
    <row r="61" spans="15:23" x14ac:dyDescent="0.3">
      <c r="O61" t="s">
        <v>84</v>
      </c>
      <c r="P61">
        <v>1725</v>
      </c>
      <c r="Q61">
        <v>1732.9</v>
      </c>
      <c r="R61">
        <v>1711</v>
      </c>
      <c r="S61">
        <v>1725.9</v>
      </c>
      <c r="T61">
        <v>9.25</v>
      </c>
      <c r="U61">
        <v>0.54</v>
      </c>
      <c r="V61">
        <v>0.75</v>
      </c>
      <c r="W61" s="1">
        <v>-4.039471406313111E-3</v>
      </c>
    </row>
    <row r="62" spans="15:23" x14ac:dyDescent="0.3">
      <c r="O62" t="s">
        <v>30</v>
      </c>
      <c r="P62">
        <v>142.69999999999999</v>
      </c>
      <c r="Q62">
        <v>145.5</v>
      </c>
      <c r="R62">
        <v>142.1</v>
      </c>
      <c r="S62">
        <v>142.69999999999999</v>
      </c>
      <c r="T62">
        <v>0.75</v>
      </c>
      <c r="U62">
        <v>0.53</v>
      </c>
      <c r="V62">
        <v>8.17</v>
      </c>
      <c r="W62" s="1">
        <v>-1.9243986254295575E-2</v>
      </c>
    </row>
    <row r="63" spans="15:23" x14ac:dyDescent="0.3">
      <c r="O63" t="s">
        <v>19</v>
      </c>
      <c r="P63">
        <v>21840</v>
      </c>
      <c r="Q63">
        <v>22195</v>
      </c>
      <c r="R63">
        <v>21681</v>
      </c>
      <c r="S63">
        <v>21860</v>
      </c>
      <c r="T63">
        <v>106.05</v>
      </c>
      <c r="U63">
        <v>0.49</v>
      </c>
      <c r="V63">
        <v>0.02</v>
      </c>
      <c r="W63" s="1">
        <v>-1.5093489524667714E-2</v>
      </c>
    </row>
    <row r="64" spans="15:23" x14ac:dyDescent="0.3">
      <c r="O64" t="s">
        <v>54</v>
      </c>
      <c r="P64">
        <v>1211.1500000000001</v>
      </c>
      <c r="Q64">
        <v>1230</v>
      </c>
      <c r="R64">
        <v>1205.4000000000001</v>
      </c>
      <c r="S64">
        <v>1225</v>
      </c>
      <c r="T64">
        <v>5.5</v>
      </c>
      <c r="U64">
        <v>0.45</v>
      </c>
      <c r="V64">
        <v>0.34</v>
      </c>
      <c r="W64" s="1">
        <v>-4.0650406504064707E-3</v>
      </c>
    </row>
    <row r="65" spans="15:23" x14ac:dyDescent="0.3">
      <c r="O65" t="s">
        <v>78</v>
      </c>
      <c r="P65">
        <v>3223.9</v>
      </c>
      <c r="Q65">
        <v>3239.85</v>
      </c>
      <c r="R65">
        <v>3202.3</v>
      </c>
      <c r="S65">
        <v>3220.4</v>
      </c>
      <c r="T65">
        <v>14.3</v>
      </c>
      <c r="U65">
        <v>0.45</v>
      </c>
      <c r="V65">
        <v>0.22</v>
      </c>
      <c r="W65" s="1">
        <v>-6.0033643532878544E-3</v>
      </c>
    </row>
    <row r="66" spans="15:23" x14ac:dyDescent="0.3">
      <c r="O66" t="s">
        <v>138</v>
      </c>
      <c r="P66">
        <v>21000</v>
      </c>
      <c r="Q66">
        <v>21199</v>
      </c>
      <c r="R66">
        <v>20869.099999999999</v>
      </c>
      <c r="S66">
        <v>21014</v>
      </c>
      <c r="T66">
        <v>94</v>
      </c>
      <c r="U66">
        <v>0.45</v>
      </c>
      <c r="V66">
        <v>0.1</v>
      </c>
      <c r="W66" s="1">
        <v>-8.7268267371102271E-3</v>
      </c>
    </row>
    <row r="67" spans="15:23" x14ac:dyDescent="0.3">
      <c r="O67" t="s">
        <v>154</v>
      </c>
      <c r="P67">
        <v>15170</v>
      </c>
      <c r="Q67">
        <v>15375</v>
      </c>
      <c r="R67">
        <v>15010</v>
      </c>
      <c r="S67">
        <v>15210</v>
      </c>
      <c r="T67">
        <v>66.95</v>
      </c>
      <c r="U67">
        <v>0.44</v>
      </c>
      <c r="V67">
        <v>0.02</v>
      </c>
      <c r="W67" s="1">
        <v>-1.073170731707318E-2</v>
      </c>
    </row>
    <row r="68" spans="15:23" x14ac:dyDescent="0.3">
      <c r="O68" t="s">
        <v>28</v>
      </c>
      <c r="P68">
        <v>205.9</v>
      </c>
      <c r="Q68">
        <v>209.7</v>
      </c>
      <c r="R68">
        <v>202.4</v>
      </c>
      <c r="S68">
        <v>207.35</v>
      </c>
      <c r="T68">
        <v>0.85</v>
      </c>
      <c r="U68">
        <v>0.41</v>
      </c>
      <c r="V68">
        <v>2.5499999999999998</v>
      </c>
      <c r="W68" s="1">
        <v>-1.1206485455412474E-2</v>
      </c>
    </row>
    <row r="69" spans="15:23" x14ac:dyDescent="0.3">
      <c r="O69" t="s">
        <v>33</v>
      </c>
      <c r="P69">
        <v>312.10000000000002</v>
      </c>
      <c r="Q69">
        <v>317</v>
      </c>
      <c r="R69">
        <v>311.55</v>
      </c>
      <c r="S69">
        <v>315</v>
      </c>
      <c r="T69">
        <v>1.25</v>
      </c>
      <c r="U69">
        <v>0.4</v>
      </c>
      <c r="V69">
        <v>1.1200000000000001</v>
      </c>
      <c r="W69" s="1">
        <v>-6.3091482649841879E-3</v>
      </c>
    </row>
    <row r="70" spans="15:23" x14ac:dyDescent="0.3">
      <c r="O70" t="s">
        <v>50</v>
      </c>
      <c r="P70">
        <v>446</v>
      </c>
      <c r="Q70">
        <v>452.7</v>
      </c>
      <c r="R70">
        <v>442.3</v>
      </c>
      <c r="S70">
        <v>447.5</v>
      </c>
      <c r="T70">
        <v>1.8</v>
      </c>
      <c r="U70">
        <v>0.4</v>
      </c>
      <c r="V70">
        <v>1.29</v>
      </c>
      <c r="W70" s="1">
        <v>-1.1486635741108864E-2</v>
      </c>
    </row>
    <row r="71" spans="15:23" x14ac:dyDescent="0.3">
      <c r="O71" t="s">
        <v>108</v>
      </c>
      <c r="P71">
        <v>524.04999999999995</v>
      </c>
      <c r="Q71">
        <v>529.29999999999995</v>
      </c>
      <c r="R71">
        <v>522.20000000000005</v>
      </c>
      <c r="S71">
        <v>526.85</v>
      </c>
      <c r="T71">
        <v>2.0499999999999998</v>
      </c>
      <c r="U71">
        <v>0.39</v>
      </c>
      <c r="V71">
        <v>12.98</v>
      </c>
      <c r="W71" s="1">
        <v>-4.6287549593801991E-3</v>
      </c>
    </row>
    <row r="72" spans="15:23" x14ac:dyDescent="0.3">
      <c r="O72" t="s">
        <v>10</v>
      </c>
      <c r="P72">
        <v>198.65</v>
      </c>
      <c r="Q72">
        <v>202.25</v>
      </c>
      <c r="R72">
        <v>197.1</v>
      </c>
      <c r="S72">
        <v>198.65</v>
      </c>
      <c r="T72">
        <v>0.7</v>
      </c>
      <c r="U72">
        <v>0.35</v>
      </c>
      <c r="V72">
        <v>5.74</v>
      </c>
      <c r="W72" s="1">
        <v>-1.7799752781211375E-2</v>
      </c>
    </row>
    <row r="73" spans="15:23" x14ac:dyDescent="0.3">
      <c r="O73" t="s">
        <v>105</v>
      </c>
      <c r="P73">
        <v>157.94999999999999</v>
      </c>
      <c r="Q73">
        <v>160.94999999999999</v>
      </c>
      <c r="R73">
        <v>156.35</v>
      </c>
      <c r="S73">
        <v>158.55000000000001</v>
      </c>
      <c r="T73">
        <v>0.5</v>
      </c>
      <c r="U73">
        <v>0.32</v>
      </c>
      <c r="V73">
        <v>2.91</v>
      </c>
      <c r="W73" s="1">
        <v>-1.4911463187325169E-2</v>
      </c>
    </row>
    <row r="74" spans="15:23" x14ac:dyDescent="0.3">
      <c r="O74" t="s">
        <v>66</v>
      </c>
      <c r="P74">
        <v>113.2</v>
      </c>
      <c r="Q74">
        <v>113.2</v>
      </c>
      <c r="R74">
        <v>111.5</v>
      </c>
      <c r="S74">
        <v>113</v>
      </c>
      <c r="T74">
        <v>0.35</v>
      </c>
      <c r="U74">
        <v>0.31</v>
      </c>
      <c r="V74">
        <v>7.87</v>
      </c>
      <c r="W74" s="1">
        <v>-1.7667844522968323E-3</v>
      </c>
    </row>
    <row r="75" spans="15:23" x14ac:dyDescent="0.3">
      <c r="O75" t="s">
        <v>129</v>
      </c>
      <c r="P75">
        <v>1173</v>
      </c>
      <c r="Q75">
        <v>1186</v>
      </c>
      <c r="R75">
        <v>1165.8499999999999</v>
      </c>
      <c r="S75">
        <v>1175.5</v>
      </c>
      <c r="T75">
        <v>3.5</v>
      </c>
      <c r="U75">
        <v>0.3</v>
      </c>
      <c r="V75">
        <v>1.0900000000000001</v>
      </c>
      <c r="W75" s="1">
        <v>-8.8532883642495896E-3</v>
      </c>
    </row>
    <row r="76" spans="15:23" x14ac:dyDescent="0.3">
      <c r="O76" t="s">
        <v>80</v>
      </c>
      <c r="P76">
        <v>258</v>
      </c>
      <c r="Q76">
        <v>262</v>
      </c>
      <c r="R76">
        <v>252.5</v>
      </c>
      <c r="S76">
        <v>260.45</v>
      </c>
      <c r="T76">
        <v>0.75</v>
      </c>
      <c r="U76">
        <v>0.28999999999999998</v>
      </c>
      <c r="V76">
        <v>12.12</v>
      </c>
      <c r="W76" s="1">
        <v>-5.916030534351191E-3</v>
      </c>
    </row>
    <row r="77" spans="15:23" x14ac:dyDescent="0.3">
      <c r="O77" t="s">
        <v>98</v>
      </c>
      <c r="P77">
        <v>1327.1</v>
      </c>
      <c r="Q77">
        <v>1351.85</v>
      </c>
      <c r="R77">
        <v>1317.15</v>
      </c>
      <c r="S77">
        <v>1327</v>
      </c>
      <c r="T77">
        <v>3.9</v>
      </c>
      <c r="U77">
        <v>0.28999999999999998</v>
      </c>
      <c r="V77">
        <v>1.0900000000000001</v>
      </c>
      <c r="W77" s="1">
        <v>-1.8382216961940978E-2</v>
      </c>
    </row>
    <row r="78" spans="15:23" x14ac:dyDescent="0.3">
      <c r="O78" t="s">
        <v>133</v>
      </c>
      <c r="P78">
        <v>3210</v>
      </c>
      <c r="Q78">
        <v>3285.75</v>
      </c>
      <c r="R78">
        <v>3206.6</v>
      </c>
      <c r="S78">
        <v>3236.95</v>
      </c>
      <c r="T78">
        <v>6.85</v>
      </c>
      <c r="U78">
        <v>0.21</v>
      </c>
      <c r="V78">
        <v>0.34</v>
      </c>
      <c r="W78" s="1">
        <v>-1.4852012478125287E-2</v>
      </c>
    </row>
    <row r="79" spans="15:23" x14ac:dyDescent="0.3">
      <c r="O79" t="s">
        <v>139</v>
      </c>
      <c r="P79">
        <v>565</v>
      </c>
      <c r="Q79">
        <v>574.5</v>
      </c>
      <c r="R79">
        <v>560.4</v>
      </c>
      <c r="S79">
        <v>562.75</v>
      </c>
      <c r="T79">
        <v>1.05</v>
      </c>
      <c r="U79">
        <v>0.19</v>
      </c>
      <c r="V79">
        <v>1.82</v>
      </c>
      <c r="W79" s="1">
        <v>-2.0452567449956494E-2</v>
      </c>
    </row>
    <row r="80" spans="15:23" x14ac:dyDescent="0.3">
      <c r="O80" t="s">
        <v>46</v>
      </c>
      <c r="P80">
        <v>517.1</v>
      </c>
      <c r="Q80">
        <v>525.9</v>
      </c>
      <c r="R80">
        <v>513.9</v>
      </c>
      <c r="S80">
        <v>518</v>
      </c>
      <c r="T80">
        <v>0.9</v>
      </c>
      <c r="U80">
        <v>0.17</v>
      </c>
      <c r="V80">
        <v>0.76</v>
      </c>
      <c r="W80" s="1">
        <v>-1.5021867275147316E-2</v>
      </c>
    </row>
    <row r="81" spans="15:23" x14ac:dyDescent="0.3">
      <c r="O81" t="s">
        <v>160</v>
      </c>
      <c r="P81">
        <v>1650.25</v>
      </c>
      <c r="Q81">
        <v>1682</v>
      </c>
      <c r="R81">
        <v>1623.05</v>
      </c>
      <c r="S81">
        <v>1646.75</v>
      </c>
      <c r="T81">
        <v>2.65</v>
      </c>
      <c r="U81">
        <v>0.16</v>
      </c>
      <c r="V81">
        <v>1.01</v>
      </c>
      <c r="W81" s="1">
        <v>-2.0957193816884656E-2</v>
      </c>
    </row>
    <row r="82" spans="15:23" x14ac:dyDescent="0.3">
      <c r="O82" t="s">
        <v>70</v>
      </c>
      <c r="P82">
        <v>1480</v>
      </c>
      <c r="Q82">
        <v>1485</v>
      </c>
      <c r="R82">
        <v>1463.1</v>
      </c>
      <c r="S82">
        <v>1477.2</v>
      </c>
      <c r="T82">
        <v>2.0499999999999998</v>
      </c>
      <c r="U82">
        <v>0.14000000000000001</v>
      </c>
      <c r="V82">
        <v>0.2</v>
      </c>
      <c r="W82" s="1">
        <v>-5.2525252525251753E-3</v>
      </c>
    </row>
    <row r="83" spans="15:23" x14ac:dyDescent="0.3">
      <c r="O83" t="s">
        <v>43</v>
      </c>
      <c r="P83">
        <v>716</v>
      </c>
      <c r="Q83">
        <v>722.35</v>
      </c>
      <c r="R83">
        <v>714.25</v>
      </c>
      <c r="S83">
        <v>716.05</v>
      </c>
      <c r="T83">
        <v>0.95</v>
      </c>
      <c r="U83">
        <v>0.13</v>
      </c>
      <c r="V83">
        <v>6.44</v>
      </c>
      <c r="W83" s="1">
        <v>-8.7215338824669919E-3</v>
      </c>
    </row>
    <row r="84" spans="15:23" x14ac:dyDescent="0.3">
      <c r="O84" t="s">
        <v>18</v>
      </c>
      <c r="P84">
        <v>447.6</v>
      </c>
      <c r="Q84">
        <v>451.6</v>
      </c>
      <c r="R84">
        <v>441.7</v>
      </c>
      <c r="S84">
        <v>445.45</v>
      </c>
      <c r="T84">
        <v>0.6</v>
      </c>
      <c r="U84">
        <v>0.13</v>
      </c>
      <c r="V84">
        <v>7.87</v>
      </c>
      <c r="W84" s="1">
        <v>-1.3618246235606812E-2</v>
      </c>
    </row>
    <row r="85" spans="15:23" x14ac:dyDescent="0.3">
      <c r="O85" t="s">
        <v>155</v>
      </c>
      <c r="P85">
        <v>84.05</v>
      </c>
      <c r="Q85">
        <v>85.3</v>
      </c>
      <c r="R85">
        <v>83.05</v>
      </c>
      <c r="S85">
        <v>84.25</v>
      </c>
      <c r="T85">
        <v>0.1</v>
      </c>
      <c r="U85">
        <v>0.12</v>
      </c>
      <c r="V85">
        <v>7.63</v>
      </c>
      <c r="W85" s="1">
        <v>-1.2309495896834721E-2</v>
      </c>
    </row>
    <row r="86" spans="15:23" x14ac:dyDescent="0.3">
      <c r="O86" t="s">
        <v>82</v>
      </c>
      <c r="P86">
        <v>20290.05</v>
      </c>
      <c r="Q86">
        <v>20507.7</v>
      </c>
      <c r="R86">
        <v>20208.05</v>
      </c>
      <c r="S86">
        <v>20320</v>
      </c>
      <c r="T86">
        <v>15.3</v>
      </c>
      <c r="U86">
        <v>0.08</v>
      </c>
      <c r="V86">
        <v>0.01</v>
      </c>
      <c r="W86" s="1">
        <v>-9.1526597326857528E-3</v>
      </c>
    </row>
    <row r="87" spans="15:23" x14ac:dyDescent="0.3">
      <c r="O87" t="s">
        <v>106</v>
      </c>
      <c r="P87">
        <v>922</v>
      </c>
      <c r="Q87">
        <v>936.6</v>
      </c>
      <c r="R87">
        <v>911.5</v>
      </c>
      <c r="S87">
        <v>924.1</v>
      </c>
      <c r="T87">
        <v>0.65</v>
      </c>
      <c r="U87">
        <v>7.0000000000000007E-2</v>
      </c>
      <c r="V87">
        <v>0.79</v>
      </c>
      <c r="W87" s="1">
        <v>-1.3346145633141182E-2</v>
      </c>
    </row>
    <row r="88" spans="15:23" x14ac:dyDescent="0.3">
      <c r="O88" t="s">
        <v>58</v>
      </c>
      <c r="P88">
        <v>4173.8</v>
      </c>
      <c r="Q88">
        <v>4192</v>
      </c>
      <c r="R88">
        <v>4121</v>
      </c>
      <c r="S88">
        <v>4160</v>
      </c>
      <c r="T88">
        <v>2.15</v>
      </c>
      <c r="U88">
        <v>0.05</v>
      </c>
      <c r="V88">
        <v>0.23</v>
      </c>
      <c r="W88" s="1">
        <v>-7.6335877862595547E-3</v>
      </c>
    </row>
    <row r="89" spans="15:23" x14ac:dyDescent="0.3">
      <c r="O89" t="s">
        <v>23</v>
      </c>
      <c r="P89">
        <v>102.8</v>
      </c>
      <c r="Q89">
        <v>105</v>
      </c>
      <c r="R89">
        <v>102.05</v>
      </c>
      <c r="S89">
        <v>102.6</v>
      </c>
      <c r="T89">
        <v>-0.05</v>
      </c>
      <c r="U89">
        <v>-0.05</v>
      </c>
      <c r="V89">
        <v>6.05</v>
      </c>
      <c r="W89" s="1">
        <v>5.3895149436551382E-3</v>
      </c>
    </row>
    <row r="90" spans="15:23" x14ac:dyDescent="0.3">
      <c r="O90" t="s">
        <v>114</v>
      </c>
      <c r="P90">
        <v>3969.6</v>
      </c>
      <c r="Q90">
        <v>3971.45</v>
      </c>
      <c r="R90">
        <v>3880.25</v>
      </c>
      <c r="S90">
        <v>3948.4</v>
      </c>
      <c r="T90">
        <v>-3.25</v>
      </c>
      <c r="U90">
        <v>-0.08</v>
      </c>
      <c r="V90">
        <v>1.27</v>
      </c>
      <c r="W90" s="1">
        <v>1.7563301333676895E-2</v>
      </c>
    </row>
    <row r="91" spans="15:23" x14ac:dyDescent="0.3">
      <c r="O91" t="s">
        <v>107</v>
      </c>
      <c r="P91">
        <v>666</v>
      </c>
      <c r="Q91">
        <v>669.9</v>
      </c>
      <c r="R91">
        <v>656.65</v>
      </c>
      <c r="S91">
        <v>663</v>
      </c>
      <c r="T91">
        <v>-0.85</v>
      </c>
      <c r="U91">
        <v>-0.13</v>
      </c>
      <c r="V91">
        <v>0.35</v>
      </c>
      <c r="W91" s="1">
        <v>9.6702962004111548E-3</v>
      </c>
    </row>
    <row r="92" spans="15:23" x14ac:dyDescent="0.3">
      <c r="O92" t="s">
        <v>21</v>
      </c>
      <c r="P92">
        <v>97.05</v>
      </c>
      <c r="Q92">
        <v>98.4</v>
      </c>
      <c r="R92">
        <v>95.5</v>
      </c>
      <c r="S92">
        <v>96.9</v>
      </c>
      <c r="T92">
        <v>-0.15</v>
      </c>
      <c r="U92">
        <v>-0.15</v>
      </c>
      <c r="V92">
        <v>32.71</v>
      </c>
      <c r="W92" s="1">
        <v>1.4659685863874339E-2</v>
      </c>
    </row>
    <row r="93" spans="15:23" x14ac:dyDescent="0.3">
      <c r="O93" t="s">
        <v>156</v>
      </c>
      <c r="P93">
        <v>126.9</v>
      </c>
      <c r="Q93">
        <v>127.8</v>
      </c>
      <c r="R93">
        <v>125.6</v>
      </c>
      <c r="S93">
        <v>126.35</v>
      </c>
      <c r="T93">
        <v>-0.2</v>
      </c>
      <c r="U93">
        <v>-0.16</v>
      </c>
      <c r="V93">
        <v>3.84</v>
      </c>
      <c r="W93" s="1">
        <v>5.9713375796177637E-3</v>
      </c>
    </row>
    <row r="94" spans="15:23" x14ac:dyDescent="0.3">
      <c r="O94" t="s">
        <v>131</v>
      </c>
      <c r="P94">
        <v>463.85</v>
      </c>
      <c r="Q94">
        <v>468.5</v>
      </c>
      <c r="R94">
        <v>461.5</v>
      </c>
      <c r="S94">
        <v>463.05</v>
      </c>
      <c r="T94">
        <v>-0.75</v>
      </c>
      <c r="U94">
        <v>-0.16</v>
      </c>
      <c r="V94">
        <v>1.72</v>
      </c>
      <c r="W94" s="1">
        <v>3.3586132177680916E-3</v>
      </c>
    </row>
    <row r="95" spans="15:23" x14ac:dyDescent="0.3">
      <c r="O95" t="s">
        <v>91</v>
      </c>
      <c r="P95">
        <v>191.95</v>
      </c>
      <c r="Q95">
        <v>193.6</v>
      </c>
      <c r="R95">
        <v>191</v>
      </c>
      <c r="S95">
        <v>191.65</v>
      </c>
      <c r="T95">
        <v>-0.35</v>
      </c>
      <c r="U95">
        <v>-0.18</v>
      </c>
      <c r="V95">
        <v>3.99</v>
      </c>
      <c r="W95" s="1">
        <v>3.4031413612565231E-3</v>
      </c>
    </row>
    <row r="96" spans="15:23" x14ac:dyDescent="0.3">
      <c r="O96" t="s">
        <v>9</v>
      </c>
      <c r="P96">
        <v>162</v>
      </c>
      <c r="Q96">
        <v>166.45</v>
      </c>
      <c r="R96">
        <v>159.75</v>
      </c>
      <c r="S96">
        <v>161.19999999999999</v>
      </c>
      <c r="T96">
        <v>-0.3</v>
      </c>
      <c r="U96">
        <v>-0.19</v>
      </c>
      <c r="V96">
        <v>30.92</v>
      </c>
      <c r="W96" s="1">
        <v>9.0766823161188004E-3</v>
      </c>
    </row>
    <row r="97" spans="15:23" x14ac:dyDescent="0.3">
      <c r="O97" t="s">
        <v>97</v>
      </c>
      <c r="P97">
        <v>1249.5</v>
      </c>
      <c r="Q97">
        <v>1249.8499999999999</v>
      </c>
      <c r="R97">
        <v>1237.55</v>
      </c>
      <c r="S97">
        <v>1243.5</v>
      </c>
      <c r="T97">
        <v>-2.5499999999999998</v>
      </c>
      <c r="U97">
        <v>-0.2</v>
      </c>
      <c r="V97">
        <v>4.13</v>
      </c>
      <c r="W97" s="1">
        <v>4.8078865500384982E-3</v>
      </c>
    </row>
    <row r="98" spans="15:23" x14ac:dyDescent="0.3">
      <c r="O98" t="s">
        <v>159</v>
      </c>
      <c r="P98">
        <v>781.2</v>
      </c>
      <c r="Q98">
        <v>798.05</v>
      </c>
      <c r="R98">
        <v>778</v>
      </c>
      <c r="S98">
        <v>781.3</v>
      </c>
      <c r="T98">
        <v>-1.75</v>
      </c>
      <c r="U98">
        <v>-0.22</v>
      </c>
      <c r="V98">
        <v>0.2</v>
      </c>
      <c r="W98" s="1">
        <v>4.2416452442157748E-3</v>
      </c>
    </row>
    <row r="99" spans="15:23" x14ac:dyDescent="0.3">
      <c r="O99" t="s">
        <v>22</v>
      </c>
      <c r="P99">
        <v>240.8</v>
      </c>
      <c r="Q99">
        <v>241.65</v>
      </c>
      <c r="R99">
        <v>238.6</v>
      </c>
      <c r="S99">
        <v>240.45</v>
      </c>
      <c r="T99">
        <v>-0.55000000000000004</v>
      </c>
      <c r="U99">
        <v>-0.23</v>
      </c>
      <c r="V99">
        <v>1.21</v>
      </c>
      <c r="W99" s="1">
        <v>7.753562447611051E-3</v>
      </c>
    </row>
    <row r="100" spans="15:23" x14ac:dyDescent="0.3">
      <c r="O100" t="s">
        <v>77</v>
      </c>
      <c r="P100">
        <v>341.9</v>
      </c>
      <c r="Q100">
        <v>342.8</v>
      </c>
      <c r="R100">
        <v>339.45</v>
      </c>
      <c r="S100">
        <v>340.25</v>
      </c>
      <c r="T100">
        <v>-0.85</v>
      </c>
      <c r="U100">
        <v>-0.25</v>
      </c>
      <c r="V100">
        <v>1.46</v>
      </c>
      <c r="W100" s="1">
        <v>2.3567535719546395E-3</v>
      </c>
    </row>
    <row r="101" spans="15:23" x14ac:dyDescent="0.3">
      <c r="O101" t="s">
        <v>99</v>
      </c>
      <c r="P101">
        <v>771</v>
      </c>
      <c r="Q101">
        <v>774</v>
      </c>
      <c r="R101">
        <v>762.35</v>
      </c>
      <c r="S101">
        <v>765.9</v>
      </c>
      <c r="T101">
        <v>-2.1</v>
      </c>
      <c r="U101">
        <v>-0.27</v>
      </c>
      <c r="V101">
        <v>1.21</v>
      </c>
      <c r="W101" s="1">
        <v>4.6566537679542108E-3</v>
      </c>
    </row>
    <row r="102" spans="15:23" x14ac:dyDescent="0.3">
      <c r="O102" t="s">
        <v>40</v>
      </c>
      <c r="P102">
        <v>290.7</v>
      </c>
      <c r="Q102">
        <v>291.89999999999998</v>
      </c>
      <c r="R102">
        <v>287.75</v>
      </c>
      <c r="S102">
        <v>288.2</v>
      </c>
      <c r="T102">
        <v>-0.8</v>
      </c>
      <c r="U102">
        <v>-0.28000000000000003</v>
      </c>
      <c r="V102">
        <v>2.4300000000000002</v>
      </c>
      <c r="W102" s="1">
        <v>1.5638575152041589E-3</v>
      </c>
    </row>
    <row r="103" spans="15:23" x14ac:dyDescent="0.3">
      <c r="O103" t="s">
        <v>73</v>
      </c>
      <c r="P103">
        <v>431.85</v>
      </c>
      <c r="Q103">
        <v>434.6</v>
      </c>
      <c r="R103">
        <v>423.6</v>
      </c>
      <c r="S103">
        <v>427</v>
      </c>
      <c r="T103">
        <v>-1.6</v>
      </c>
      <c r="U103">
        <v>-0.37</v>
      </c>
      <c r="V103">
        <v>4.96</v>
      </c>
      <c r="W103" s="1">
        <v>8.0264400377714207E-3</v>
      </c>
    </row>
    <row r="104" spans="15:23" x14ac:dyDescent="0.3">
      <c r="O104" t="s">
        <v>121</v>
      </c>
      <c r="P104">
        <v>3084.8</v>
      </c>
      <c r="Q104">
        <v>3084.8</v>
      </c>
      <c r="R104">
        <v>3047.45</v>
      </c>
      <c r="S104">
        <v>3055</v>
      </c>
      <c r="T104">
        <v>-14.6</v>
      </c>
      <c r="U104">
        <v>-0.48</v>
      </c>
      <c r="V104">
        <v>0.21</v>
      </c>
      <c r="W104" s="1">
        <v>2.4774811727839019E-3</v>
      </c>
    </row>
    <row r="105" spans="15:23" x14ac:dyDescent="0.3">
      <c r="O105" t="s">
        <v>15</v>
      </c>
      <c r="P105">
        <v>762.4</v>
      </c>
      <c r="Q105">
        <v>764.95</v>
      </c>
      <c r="R105">
        <v>753</v>
      </c>
      <c r="S105">
        <v>758</v>
      </c>
      <c r="T105">
        <v>-3.85</v>
      </c>
      <c r="U105">
        <v>-0.51</v>
      </c>
      <c r="V105">
        <v>1.08</v>
      </c>
      <c r="W105" s="1">
        <v>6.6401062416998613E-3</v>
      </c>
    </row>
    <row r="106" spans="15:23" x14ac:dyDescent="0.3">
      <c r="O106" t="s">
        <v>62</v>
      </c>
      <c r="P106">
        <v>663.6</v>
      </c>
      <c r="Q106">
        <v>665</v>
      </c>
      <c r="R106">
        <v>655.75</v>
      </c>
      <c r="S106">
        <v>657.5</v>
      </c>
      <c r="T106">
        <v>-3.9</v>
      </c>
      <c r="U106">
        <v>-0.59</v>
      </c>
      <c r="V106">
        <v>0.56000000000000005</v>
      </c>
      <c r="W106" s="1">
        <v>2.6686999618756868E-3</v>
      </c>
    </row>
    <row r="107" spans="15:23" x14ac:dyDescent="0.3">
      <c r="O107" t="s">
        <v>118</v>
      </c>
      <c r="P107">
        <v>1484</v>
      </c>
      <c r="Q107">
        <v>1492</v>
      </c>
      <c r="R107">
        <v>1470.5</v>
      </c>
      <c r="S107">
        <v>1473.75</v>
      </c>
      <c r="T107">
        <v>-8.75</v>
      </c>
      <c r="U107">
        <v>-0.59</v>
      </c>
      <c r="V107">
        <v>0.28999999999999998</v>
      </c>
      <c r="W107" s="1">
        <v>2.2101326079564387E-3</v>
      </c>
    </row>
    <row r="108" spans="15:23" x14ac:dyDescent="0.3">
      <c r="O108" t="s">
        <v>47</v>
      </c>
      <c r="P108">
        <v>562</v>
      </c>
      <c r="Q108">
        <v>567.25</v>
      </c>
      <c r="R108">
        <v>550.25</v>
      </c>
      <c r="S108">
        <v>559</v>
      </c>
      <c r="T108">
        <v>-3.35</v>
      </c>
      <c r="U108">
        <v>-0.6</v>
      </c>
      <c r="V108">
        <v>1.18</v>
      </c>
      <c r="W108" s="1">
        <v>1.5901862789641008E-2</v>
      </c>
    </row>
    <row r="109" spans="15:23" x14ac:dyDescent="0.3">
      <c r="O109" t="s">
        <v>153</v>
      </c>
      <c r="P109">
        <v>200.9</v>
      </c>
      <c r="Q109">
        <v>201.85</v>
      </c>
      <c r="R109">
        <v>198.4</v>
      </c>
      <c r="S109">
        <v>199.7</v>
      </c>
      <c r="T109">
        <v>-1.2</v>
      </c>
      <c r="U109">
        <v>-0.6</v>
      </c>
      <c r="V109">
        <v>1.88</v>
      </c>
      <c r="W109" s="1">
        <v>6.5524193548385234E-3</v>
      </c>
    </row>
    <row r="110" spans="15:23" x14ac:dyDescent="0.3">
      <c r="O110" t="s">
        <v>42</v>
      </c>
      <c r="P110">
        <v>502</v>
      </c>
      <c r="Q110">
        <v>509</v>
      </c>
      <c r="R110">
        <v>495.55</v>
      </c>
      <c r="S110">
        <v>497.5</v>
      </c>
      <c r="T110">
        <v>-3.1</v>
      </c>
      <c r="U110">
        <v>-0.62</v>
      </c>
      <c r="V110">
        <v>2.81</v>
      </c>
      <c r="W110" s="1">
        <v>3.9350216930682524E-3</v>
      </c>
    </row>
    <row r="111" spans="15:23" x14ac:dyDescent="0.3">
      <c r="O111" t="s">
        <v>127</v>
      </c>
      <c r="P111">
        <v>182.1</v>
      </c>
      <c r="Q111">
        <v>184.75</v>
      </c>
      <c r="R111">
        <v>181.2</v>
      </c>
      <c r="S111">
        <v>181.25</v>
      </c>
      <c r="T111">
        <v>-1.1499999999999999</v>
      </c>
      <c r="U111">
        <v>-0.63</v>
      </c>
      <c r="V111">
        <v>1.31</v>
      </c>
      <c r="W111" s="1">
        <v>2.759381898456148E-4</v>
      </c>
    </row>
    <row r="112" spans="15:23" x14ac:dyDescent="0.3">
      <c r="O112" t="s">
        <v>16</v>
      </c>
      <c r="P112">
        <v>492.75</v>
      </c>
      <c r="Q112">
        <v>493.9</v>
      </c>
      <c r="R112">
        <v>484.6</v>
      </c>
      <c r="S112">
        <v>488.7</v>
      </c>
      <c r="T112">
        <v>-3.75</v>
      </c>
      <c r="U112">
        <v>-0.76</v>
      </c>
      <c r="V112">
        <v>1.2</v>
      </c>
      <c r="W112" s="1">
        <v>8.4605860503508268E-3</v>
      </c>
    </row>
    <row r="113" spans="15:23" x14ac:dyDescent="0.3">
      <c r="O113" t="s">
        <v>63</v>
      </c>
      <c r="P113">
        <v>111</v>
      </c>
      <c r="Q113">
        <v>112.4</v>
      </c>
      <c r="R113">
        <v>108.35</v>
      </c>
      <c r="S113">
        <v>109.6</v>
      </c>
      <c r="T113">
        <v>-0.85</v>
      </c>
      <c r="U113">
        <v>-0.77</v>
      </c>
      <c r="V113">
        <v>5.15</v>
      </c>
      <c r="W113" s="1">
        <v>1.1536686663590201E-2</v>
      </c>
    </row>
    <row r="114" spans="15:23" x14ac:dyDescent="0.3">
      <c r="O114" t="s">
        <v>34</v>
      </c>
      <c r="P114">
        <v>117.8</v>
      </c>
      <c r="Q114">
        <v>117.8</v>
      </c>
      <c r="R114">
        <v>115.2</v>
      </c>
      <c r="S114">
        <v>116.25</v>
      </c>
      <c r="T114">
        <v>-0.9</v>
      </c>
      <c r="U114">
        <v>-0.77</v>
      </c>
      <c r="V114">
        <v>9.32</v>
      </c>
      <c r="W114" s="1">
        <v>9.1145833333332593E-3</v>
      </c>
    </row>
    <row r="115" spans="15:23" x14ac:dyDescent="0.3">
      <c r="O115" t="s">
        <v>113</v>
      </c>
      <c r="P115">
        <v>2030</v>
      </c>
      <c r="Q115">
        <v>2032.05</v>
      </c>
      <c r="R115">
        <v>1991.2</v>
      </c>
      <c r="S115">
        <v>2010.3</v>
      </c>
      <c r="T115">
        <v>-15.75</v>
      </c>
      <c r="U115">
        <v>-0.78</v>
      </c>
      <c r="V115">
        <v>0.96</v>
      </c>
      <c r="W115" s="1">
        <v>9.5922057051023302E-3</v>
      </c>
    </row>
    <row r="116" spans="15:23" x14ac:dyDescent="0.3">
      <c r="O116" t="s">
        <v>141</v>
      </c>
      <c r="P116">
        <v>605</v>
      </c>
      <c r="Q116">
        <v>612.4</v>
      </c>
      <c r="R116">
        <v>596.1</v>
      </c>
      <c r="S116">
        <v>598.54999999999995</v>
      </c>
      <c r="T116">
        <v>-4.75</v>
      </c>
      <c r="U116">
        <v>-0.79</v>
      </c>
      <c r="V116">
        <v>1.84</v>
      </c>
      <c r="W116" s="1">
        <v>4.1100486495553312E-3</v>
      </c>
    </row>
    <row r="117" spans="15:23" x14ac:dyDescent="0.3">
      <c r="O117" t="s">
        <v>86</v>
      </c>
      <c r="P117">
        <v>566.29999999999995</v>
      </c>
      <c r="Q117">
        <v>574.20000000000005</v>
      </c>
      <c r="R117">
        <v>563.25</v>
      </c>
      <c r="S117">
        <v>565.5</v>
      </c>
      <c r="T117">
        <v>-4.6500000000000004</v>
      </c>
      <c r="U117">
        <v>-0.82</v>
      </c>
      <c r="V117">
        <v>1.38</v>
      </c>
      <c r="W117" s="1">
        <v>3.9946737683089761E-3</v>
      </c>
    </row>
    <row r="118" spans="15:23" x14ac:dyDescent="0.3">
      <c r="O118" t="s">
        <v>110</v>
      </c>
      <c r="P118">
        <v>588.65</v>
      </c>
      <c r="Q118">
        <v>599.1</v>
      </c>
      <c r="R118">
        <v>584.70000000000005</v>
      </c>
      <c r="S118">
        <v>588.25</v>
      </c>
      <c r="T118">
        <v>-5</v>
      </c>
      <c r="U118">
        <v>-0.84</v>
      </c>
      <c r="V118">
        <v>0.92</v>
      </c>
      <c r="W118" s="1">
        <v>6.0714896528133444E-3</v>
      </c>
    </row>
    <row r="119" spans="15:23" x14ac:dyDescent="0.3">
      <c r="O119" t="s">
        <v>72</v>
      </c>
      <c r="P119">
        <v>1677.95</v>
      </c>
      <c r="Q119">
        <v>1679</v>
      </c>
      <c r="R119">
        <v>1656.5</v>
      </c>
      <c r="S119">
        <v>1660</v>
      </c>
      <c r="T119">
        <v>-14.3</v>
      </c>
      <c r="U119">
        <v>-0.85</v>
      </c>
      <c r="V119">
        <v>1.89</v>
      </c>
      <c r="W119" s="1">
        <v>2.1128886205856734E-3</v>
      </c>
    </row>
    <row r="120" spans="15:23" x14ac:dyDescent="0.3">
      <c r="O120" t="s">
        <v>48</v>
      </c>
      <c r="P120">
        <v>759.45</v>
      </c>
      <c r="Q120">
        <v>759.45</v>
      </c>
      <c r="R120">
        <v>746.5</v>
      </c>
      <c r="S120">
        <v>751</v>
      </c>
      <c r="T120">
        <v>-6.5</v>
      </c>
      <c r="U120">
        <v>-0.86</v>
      </c>
      <c r="V120">
        <v>1.44</v>
      </c>
      <c r="W120" s="1">
        <v>6.0281312793033504E-3</v>
      </c>
    </row>
    <row r="121" spans="15:23" x14ac:dyDescent="0.3">
      <c r="O121" t="s">
        <v>35</v>
      </c>
      <c r="P121">
        <v>446.95</v>
      </c>
      <c r="Q121">
        <v>453</v>
      </c>
      <c r="R121">
        <v>435.6</v>
      </c>
      <c r="S121">
        <v>440.2</v>
      </c>
      <c r="T121">
        <v>-3.95</v>
      </c>
      <c r="U121">
        <v>-0.89</v>
      </c>
      <c r="V121">
        <v>2.21</v>
      </c>
      <c r="W121" s="1">
        <v>1.0560146923783265E-2</v>
      </c>
    </row>
    <row r="122" spans="15:23" x14ac:dyDescent="0.3">
      <c r="O122" t="s">
        <v>75</v>
      </c>
      <c r="P122">
        <v>318.95</v>
      </c>
      <c r="Q122">
        <v>327.64999999999998</v>
      </c>
      <c r="R122">
        <v>314.75</v>
      </c>
      <c r="S122">
        <v>317.05</v>
      </c>
      <c r="T122">
        <v>-2.95</v>
      </c>
      <c r="U122">
        <v>-0.92</v>
      </c>
      <c r="V122">
        <v>52.44</v>
      </c>
      <c r="W122" s="1">
        <v>7.3073868149324817E-3</v>
      </c>
    </row>
    <row r="123" spans="15:23" x14ac:dyDescent="0.3">
      <c r="O123" t="s">
        <v>92</v>
      </c>
      <c r="P123">
        <v>1488.6</v>
      </c>
      <c r="Q123">
        <v>1493.7</v>
      </c>
      <c r="R123">
        <v>1457.5</v>
      </c>
      <c r="S123">
        <v>1466.85</v>
      </c>
      <c r="T123">
        <v>-13.75</v>
      </c>
      <c r="U123">
        <v>-0.93</v>
      </c>
      <c r="V123">
        <v>0.47</v>
      </c>
      <c r="W123" s="1">
        <v>6.4150943396226179E-3</v>
      </c>
    </row>
    <row r="124" spans="15:23" x14ac:dyDescent="0.3">
      <c r="O124" t="s">
        <v>90</v>
      </c>
      <c r="P124">
        <v>693</v>
      </c>
      <c r="Q124">
        <v>693.95</v>
      </c>
      <c r="R124">
        <v>679.9</v>
      </c>
      <c r="S124">
        <v>687.9</v>
      </c>
      <c r="T124">
        <v>-6.55</v>
      </c>
      <c r="U124">
        <v>-0.94</v>
      </c>
      <c r="V124">
        <v>0.64</v>
      </c>
      <c r="W124" s="1">
        <v>1.1766436240623568E-2</v>
      </c>
    </row>
    <row r="125" spans="15:23" x14ac:dyDescent="0.3">
      <c r="O125" t="s">
        <v>83</v>
      </c>
      <c r="P125">
        <v>243</v>
      </c>
      <c r="Q125">
        <v>243.3</v>
      </c>
      <c r="R125">
        <v>241</v>
      </c>
      <c r="S125">
        <v>241</v>
      </c>
      <c r="T125">
        <v>-2.35</v>
      </c>
      <c r="U125">
        <v>-0.97</v>
      </c>
      <c r="V125">
        <v>6.72</v>
      </c>
      <c r="W125" s="1">
        <v>0</v>
      </c>
    </row>
    <row r="126" spans="15:23" x14ac:dyDescent="0.3">
      <c r="O126" t="s">
        <v>145</v>
      </c>
      <c r="P126">
        <v>217.5</v>
      </c>
      <c r="Q126">
        <v>221.3</v>
      </c>
      <c r="R126">
        <v>214.6</v>
      </c>
      <c r="S126">
        <v>216.2</v>
      </c>
      <c r="T126">
        <v>-2.2000000000000002</v>
      </c>
      <c r="U126">
        <v>-1.01</v>
      </c>
      <c r="V126">
        <v>8.35</v>
      </c>
      <c r="W126" s="1">
        <v>7.455731593662529E-3</v>
      </c>
    </row>
    <row r="127" spans="15:23" x14ac:dyDescent="0.3">
      <c r="O127" t="s">
        <v>116</v>
      </c>
      <c r="P127">
        <v>669</v>
      </c>
      <c r="Q127">
        <v>670.25</v>
      </c>
      <c r="R127">
        <v>655.6</v>
      </c>
      <c r="S127">
        <v>658</v>
      </c>
      <c r="T127">
        <v>-6.9</v>
      </c>
      <c r="U127">
        <v>-1.04</v>
      </c>
      <c r="V127">
        <v>0.63</v>
      </c>
      <c r="W127" s="1">
        <v>3.6607687614398365E-3</v>
      </c>
    </row>
    <row r="128" spans="15:23" x14ac:dyDescent="0.3">
      <c r="O128" t="s">
        <v>85</v>
      </c>
      <c r="P128">
        <v>1754.6</v>
      </c>
      <c r="Q128">
        <v>1764.05</v>
      </c>
      <c r="R128">
        <v>1713.8</v>
      </c>
      <c r="S128">
        <v>1736.2</v>
      </c>
      <c r="T128">
        <v>-18.2</v>
      </c>
      <c r="U128">
        <v>-1.04</v>
      </c>
      <c r="V128">
        <v>0.3</v>
      </c>
      <c r="W128" s="1">
        <v>1.307036993814914E-2</v>
      </c>
    </row>
    <row r="129" spans="15:23" x14ac:dyDescent="0.3">
      <c r="O129" t="s">
        <v>93</v>
      </c>
      <c r="P129">
        <v>339.15</v>
      </c>
      <c r="Q129">
        <v>345.9</v>
      </c>
      <c r="R129">
        <v>325.25</v>
      </c>
      <c r="S129">
        <v>335</v>
      </c>
      <c r="T129">
        <v>-3.55</v>
      </c>
      <c r="U129">
        <v>-1.05</v>
      </c>
      <c r="V129">
        <v>24.25</v>
      </c>
      <c r="W129" s="1">
        <v>2.997694081475788E-2</v>
      </c>
    </row>
    <row r="130" spans="15:23" x14ac:dyDescent="0.3">
      <c r="O130" t="s">
        <v>134</v>
      </c>
      <c r="P130">
        <v>1457</v>
      </c>
      <c r="Q130">
        <v>1484.85</v>
      </c>
      <c r="R130">
        <v>1445.35</v>
      </c>
      <c r="S130">
        <v>1450</v>
      </c>
      <c r="T130">
        <v>-15.85</v>
      </c>
      <c r="U130">
        <v>-1.08</v>
      </c>
      <c r="V130">
        <v>2.83</v>
      </c>
      <c r="W130" s="1">
        <v>3.2172138236414849E-3</v>
      </c>
    </row>
    <row r="131" spans="15:23" x14ac:dyDescent="0.3">
      <c r="O131" t="s">
        <v>74</v>
      </c>
      <c r="P131">
        <v>134.35</v>
      </c>
      <c r="Q131">
        <v>135.80000000000001</v>
      </c>
      <c r="R131">
        <v>132.35</v>
      </c>
      <c r="S131">
        <v>133.30000000000001</v>
      </c>
      <c r="T131">
        <v>-1.5</v>
      </c>
      <c r="U131">
        <v>-1.1100000000000001</v>
      </c>
      <c r="V131">
        <v>0.83</v>
      </c>
      <c r="W131" s="1">
        <v>7.177937287495384E-3</v>
      </c>
    </row>
    <row r="132" spans="15:23" x14ac:dyDescent="0.3">
      <c r="O132" t="s">
        <v>125</v>
      </c>
      <c r="P132">
        <v>1703</v>
      </c>
      <c r="Q132">
        <v>1713.7</v>
      </c>
      <c r="R132">
        <v>1681.1</v>
      </c>
      <c r="S132">
        <v>1684</v>
      </c>
      <c r="T132">
        <v>-19.350000000000001</v>
      </c>
      <c r="U132">
        <v>-1.1399999999999999</v>
      </c>
      <c r="V132">
        <v>0.36</v>
      </c>
      <c r="W132" s="1">
        <v>1.7250609719827725E-3</v>
      </c>
    </row>
    <row r="133" spans="15:23" x14ac:dyDescent="0.3">
      <c r="O133" t="s">
        <v>157</v>
      </c>
      <c r="P133">
        <v>52.7</v>
      </c>
      <c r="Q133">
        <v>53.35</v>
      </c>
      <c r="R133">
        <v>51.6</v>
      </c>
      <c r="S133">
        <v>51.8</v>
      </c>
      <c r="T133">
        <v>-0.6</v>
      </c>
      <c r="U133">
        <v>-1.1499999999999999</v>
      </c>
      <c r="V133">
        <v>13.99</v>
      </c>
      <c r="W133" s="1">
        <v>3.8759689922480689E-3</v>
      </c>
    </row>
    <row r="134" spans="15:23" x14ac:dyDescent="0.3">
      <c r="O134" t="s">
        <v>143</v>
      </c>
      <c r="P134">
        <v>289</v>
      </c>
      <c r="Q134">
        <v>297</v>
      </c>
      <c r="R134">
        <v>283.2</v>
      </c>
      <c r="S134">
        <v>284.2</v>
      </c>
      <c r="T134">
        <v>-3.5</v>
      </c>
      <c r="U134">
        <v>-1.22</v>
      </c>
      <c r="V134">
        <v>20.170000000000002</v>
      </c>
      <c r="W134" s="1">
        <v>3.5310734463276372E-3</v>
      </c>
    </row>
    <row r="135" spans="15:23" x14ac:dyDescent="0.3">
      <c r="O135" t="s">
        <v>36</v>
      </c>
      <c r="P135">
        <v>1294</v>
      </c>
      <c r="Q135">
        <v>1298.9000000000001</v>
      </c>
      <c r="R135">
        <v>1271.8</v>
      </c>
      <c r="S135">
        <v>1274</v>
      </c>
      <c r="T135">
        <v>-16.8</v>
      </c>
      <c r="U135">
        <v>-1.3</v>
      </c>
      <c r="V135">
        <v>3.04</v>
      </c>
      <c r="W135" s="1">
        <v>1.7298317345495473E-3</v>
      </c>
    </row>
    <row r="136" spans="15:23" x14ac:dyDescent="0.3">
      <c r="O136" t="s">
        <v>94</v>
      </c>
      <c r="P136">
        <v>457.4</v>
      </c>
      <c r="Q136">
        <v>457.75</v>
      </c>
      <c r="R136">
        <v>444.6</v>
      </c>
      <c r="S136">
        <v>449.5</v>
      </c>
      <c r="T136">
        <v>-5.95</v>
      </c>
      <c r="U136">
        <v>-1.31</v>
      </c>
      <c r="V136">
        <v>3.76</v>
      </c>
      <c r="W136" s="1">
        <v>1.1021142600089906E-2</v>
      </c>
    </row>
    <row r="137" spans="15:23" x14ac:dyDescent="0.3">
      <c r="O137" t="s">
        <v>57</v>
      </c>
      <c r="P137">
        <v>43.25</v>
      </c>
      <c r="Q137">
        <v>43.7</v>
      </c>
      <c r="R137">
        <v>42.5</v>
      </c>
      <c r="S137">
        <v>42.7</v>
      </c>
      <c r="T137">
        <v>-0.6</v>
      </c>
      <c r="U137">
        <v>-1.39</v>
      </c>
      <c r="V137">
        <v>12.97</v>
      </c>
      <c r="W137" s="1">
        <v>4.7058823529413374E-3</v>
      </c>
    </row>
    <row r="138" spans="15:23" x14ac:dyDescent="0.3">
      <c r="O138" t="s">
        <v>44</v>
      </c>
      <c r="P138">
        <v>46.75</v>
      </c>
      <c r="Q138">
        <v>47.35</v>
      </c>
      <c r="R138">
        <v>45.85</v>
      </c>
      <c r="S138">
        <v>45.9</v>
      </c>
      <c r="T138">
        <v>-0.65</v>
      </c>
      <c r="U138">
        <v>-1.4</v>
      </c>
      <c r="V138">
        <v>14.27</v>
      </c>
      <c r="W138" s="1">
        <v>1.0905125408942062E-3</v>
      </c>
    </row>
    <row r="139" spans="15:23" x14ac:dyDescent="0.3">
      <c r="O139" t="s">
        <v>117</v>
      </c>
      <c r="P139">
        <v>688</v>
      </c>
      <c r="Q139">
        <v>690.8</v>
      </c>
      <c r="R139">
        <v>677.9</v>
      </c>
      <c r="S139">
        <v>679.65</v>
      </c>
      <c r="T139">
        <v>-10.35</v>
      </c>
      <c r="U139">
        <v>-1.5</v>
      </c>
      <c r="V139">
        <v>0.99</v>
      </c>
      <c r="W139" s="1">
        <v>2.5815016964154669E-3</v>
      </c>
    </row>
    <row r="140" spans="15:23" x14ac:dyDescent="0.3">
      <c r="O140" t="s">
        <v>8</v>
      </c>
      <c r="P140">
        <v>67.5</v>
      </c>
      <c r="Q140">
        <v>69.45</v>
      </c>
      <c r="R140">
        <v>66</v>
      </c>
      <c r="S140">
        <v>66.849999999999994</v>
      </c>
      <c r="T140">
        <v>-1.05</v>
      </c>
      <c r="U140">
        <v>-1.55</v>
      </c>
      <c r="V140">
        <v>5.28</v>
      </c>
      <c r="W140" s="1">
        <v>1.2878787878787712E-2</v>
      </c>
    </row>
    <row r="141" spans="15:23" x14ac:dyDescent="0.3">
      <c r="O141" t="s">
        <v>61</v>
      </c>
      <c r="P141">
        <v>53.5</v>
      </c>
      <c r="Q141">
        <v>54.65</v>
      </c>
      <c r="R141">
        <v>52.25</v>
      </c>
      <c r="S141">
        <v>52.65</v>
      </c>
      <c r="T141">
        <v>-0.85</v>
      </c>
      <c r="U141">
        <v>-1.59</v>
      </c>
      <c r="V141">
        <v>8.34</v>
      </c>
      <c r="W141" s="1">
        <v>7.6555023923443599E-3</v>
      </c>
    </row>
    <row r="142" spans="15:23" x14ac:dyDescent="0.3">
      <c r="O142" t="s">
        <v>123</v>
      </c>
      <c r="P142">
        <v>112.3</v>
      </c>
      <c r="Q142">
        <v>114</v>
      </c>
      <c r="R142">
        <v>109.6</v>
      </c>
      <c r="S142">
        <v>110.5</v>
      </c>
      <c r="T142">
        <v>-1.8</v>
      </c>
      <c r="U142">
        <v>-1.6</v>
      </c>
      <c r="V142">
        <v>7.58</v>
      </c>
      <c r="W142" s="1">
        <v>8.2116788321169309E-3</v>
      </c>
    </row>
    <row r="143" spans="15:23" x14ac:dyDescent="0.3">
      <c r="O143" t="s">
        <v>32</v>
      </c>
      <c r="P143">
        <v>562.54999999999995</v>
      </c>
      <c r="Q143">
        <v>563.20000000000005</v>
      </c>
      <c r="R143">
        <v>547</v>
      </c>
      <c r="S143">
        <v>551.25</v>
      </c>
      <c r="T143">
        <v>-9.0500000000000007</v>
      </c>
      <c r="U143">
        <v>-1.62</v>
      </c>
      <c r="V143">
        <v>2.19</v>
      </c>
      <c r="W143" s="1">
        <v>7.7696526508226338E-3</v>
      </c>
    </row>
    <row r="144" spans="15:23" x14ac:dyDescent="0.3">
      <c r="O144" t="s">
        <v>112</v>
      </c>
      <c r="P144">
        <v>352.5</v>
      </c>
      <c r="Q144">
        <v>352.95</v>
      </c>
      <c r="R144">
        <v>344</v>
      </c>
      <c r="S144">
        <v>347.1</v>
      </c>
      <c r="T144">
        <v>-5.85</v>
      </c>
      <c r="U144">
        <v>-1.66</v>
      </c>
      <c r="V144">
        <v>2.6</v>
      </c>
      <c r="W144" s="1">
        <v>9.011627906976738E-3</v>
      </c>
    </row>
    <row r="145" spans="15:23" x14ac:dyDescent="0.3">
      <c r="O145" t="s">
        <v>49</v>
      </c>
      <c r="P145">
        <v>173.7</v>
      </c>
      <c r="Q145">
        <v>173.7</v>
      </c>
      <c r="R145">
        <v>168.6</v>
      </c>
      <c r="S145">
        <v>169.75</v>
      </c>
      <c r="T145">
        <v>-4.1500000000000004</v>
      </c>
      <c r="U145">
        <v>-2.39</v>
      </c>
      <c r="V145">
        <v>2.91</v>
      </c>
      <c r="W145" s="1">
        <v>6.8208778173191043E-3</v>
      </c>
    </row>
    <row r="146" spans="15:23" x14ac:dyDescent="0.3">
      <c r="O146" t="s">
        <v>39</v>
      </c>
      <c r="P146">
        <v>2127.9499999999998</v>
      </c>
      <c r="Q146">
        <v>2127.9499999999998</v>
      </c>
      <c r="R146">
        <v>2053.5</v>
      </c>
      <c r="S146">
        <v>2060</v>
      </c>
      <c r="T146">
        <v>-63.6</v>
      </c>
      <c r="U146">
        <v>-2.99</v>
      </c>
      <c r="V146">
        <v>2.2400000000000002</v>
      </c>
      <c r="W146" s="1">
        <v>3.1653274896517036E-3</v>
      </c>
    </row>
    <row r="147" spans="15:23" x14ac:dyDescent="0.3">
      <c r="O147" t="s">
        <v>17</v>
      </c>
      <c r="P147">
        <v>1466</v>
      </c>
      <c r="Q147">
        <v>1474.45</v>
      </c>
      <c r="R147">
        <v>1402.7</v>
      </c>
      <c r="S147">
        <v>1411</v>
      </c>
      <c r="T147">
        <v>-54</v>
      </c>
      <c r="U147">
        <v>-3.69</v>
      </c>
      <c r="V147">
        <v>0.88</v>
      </c>
      <c r="W147" s="1">
        <v>5.9171597633136397E-3</v>
      </c>
    </row>
    <row r="148" spans="15:23" x14ac:dyDescent="0.3">
      <c r="O148" t="s">
        <v>132</v>
      </c>
      <c r="P148">
        <v>275</v>
      </c>
      <c r="Q148">
        <v>277.2</v>
      </c>
      <c r="R148">
        <v>254</v>
      </c>
      <c r="S148">
        <v>259.5</v>
      </c>
      <c r="T148">
        <v>-12.95</v>
      </c>
      <c r="U148">
        <v>-4.75</v>
      </c>
      <c r="V148">
        <v>51.48</v>
      </c>
      <c r="W148" s="1">
        <v>2.1653543307086576E-2</v>
      </c>
    </row>
    <row r="149" spans="15:23" x14ac:dyDescent="0.3">
      <c r="O149" t="s">
        <v>135</v>
      </c>
      <c r="P149">
        <v>6.5</v>
      </c>
      <c r="Q149">
        <v>6.7</v>
      </c>
      <c r="R149">
        <v>5.9</v>
      </c>
      <c r="S149">
        <v>6.5</v>
      </c>
      <c r="T149">
        <v>-0.4</v>
      </c>
      <c r="U149">
        <v>-5.8</v>
      </c>
      <c r="V149">
        <v>315.7</v>
      </c>
      <c r="W149" s="1">
        <v>0.10169491525423724</v>
      </c>
    </row>
  </sheetData>
  <conditionalFormatting sqref="B38:B4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5:J1048576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{7BB89138-5D41-43A4-B573-9EC12E3F7C7C}</x14:id>
        </ext>
      </extLst>
    </cfRule>
  </conditionalFormatting>
  <conditionalFormatting sqref="C23:C3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1048576">
    <cfRule type="iconSet" priority="14">
      <iconSet iconSet="3Arrows">
        <cfvo type="percent" val="0"/>
        <cfvo type="percent" val="33"/>
        <cfvo type="percent" val="67"/>
      </iconSet>
    </cfRule>
  </conditionalFormatting>
  <conditionalFormatting sqref="I25:I1048576">
    <cfRule type="top10" dxfId="29" priority="774" rank="10"/>
  </conditionalFormatting>
  <conditionalFormatting sqref="O3:W149">
    <cfRule type="expression" dxfId="28" priority="1963">
      <formula>MATCH($O3,#REF!,0)</formula>
    </cfRule>
  </conditionalFormatting>
  <conditionalFormatting sqref="W3:W149">
    <cfRule type="dataBar" priority="2165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{193B991B-29FC-469B-9061-6D845E38ADCB}</x14:id>
        </ext>
      </extLst>
    </cfRule>
  </conditionalFormatting>
  <conditionalFormatting sqref="V3:V149">
    <cfRule type="top10" dxfId="27" priority="2167" rank="50"/>
  </conditionalFormatting>
  <conditionalFormatting sqref="U3:U149">
    <cfRule type="colorScale" priority="2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:C20">
    <cfRule type="colorScale" priority="22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:D20">
    <cfRule type="top10" dxfId="26" priority="2215" rank="5"/>
  </conditionalFormatting>
  <conditionalFormatting sqref="H3:H24">
    <cfRule type="colorScale" priority="2216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I3:I24">
    <cfRule type="top10" dxfId="22" priority="2218" rank="10"/>
  </conditionalFormatting>
  <conditionalFormatting sqref="J3:J24">
    <cfRule type="dataBar" priority="2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{1CBB9972-9E9D-44CF-998C-A74249EF0F69}</x14:id>
        </ext>
      </extLst>
    </cfRule>
  </conditionalFormatting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BB89138-5D41-43A4-B573-9EC12E3F7C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theme="0"/>
            </x14:dataBar>
          </x14:cfRule>
          <xm:sqref>J25:J1048576</xm:sqref>
        </x14:conditionalFormatting>
        <x14:conditionalFormatting xmlns:xm="http://schemas.microsoft.com/office/excel/2006/main">
          <x14:cfRule type="dataBar" id="{193B991B-29FC-469B-9061-6D845E38ADCB}">
            <x14:dataBar minLength="0" maxLength="100" gradient="0" axisPosition="middle">
              <x14:cfvo type="autoMin"/>
              <x14:cfvo type="autoMax"/>
              <x14:negativeFillColor rgb="FFFF0000"/>
              <x14:axisColor theme="0"/>
            </x14:dataBar>
          </x14:cfRule>
          <xm:sqref>W3:W149</xm:sqref>
        </x14:conditionalFormatting>
        <x14:conditionalFormatting xmlns:xm="http://schemas.microsoft.com/office/excel/2006/main">
          <x14:cfRule type="dataBar" id="{1CBB9972-9E9D-44CF-998C-A74249EF0F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theme="0"/>
            </x14:dataBar>
          </x14:cfRule>
          <xm:sqref>J3:J24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799490-579F-482A-B713-AE514EB8A3D8}">
          <x14:formula1>
            <xm:f>Master!$C$2:$C$9</xm:f>
          </x14:formula1>
          <xm:sqref>A1</xm:sqref>
        </x14:dataValidation>
        <x14:dataValidation type="list" allowBlank="1" showInputMessage="1" showErrorMessage="1" xr:uid="{49CF3A95-8AF0-4EED-B6C5-F970D4CE7379}">
          <x14:formula1>
            <xm:f>Master!$F$2:$F$17</xm:f>
          </x14:formula1>
          <xm:sqref>B1</xm:sqref>
        </x14:dataValidation>
        <x14:dataValidation type="list" allowBlank="1" showInputMessage="1" showErrorMessage="1" xr:uid="{D854AA6A-BAC3-4424-9549-680140ABC29F}">
          <x14:formula1>
            <xm:f>Master!$K$2:$K$3</xm:f>
          </x14:formula1>
          <xm:sqref>E1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44A4D-7454-416E-A005-7F43FC3AA902}">
  <sheetPr codeName="Sheet2"/>
  <dimension ref="A1:O151"/>
  <sheetViews>
    <sheetView showGridLines="0" workbookViewId="0">
      <selection activeCell="C10" sqref="C10"/>
    </sheetView>
  </sheetViews>
  <sheetFormatPr defaultRowHeight="14.4" x14ac:dyDescent="0.3"/>
  <cols>
    <col min="1" max="1" width="20.109375" customWidth="1"/>
    <col min="2" max="11" width="12.6640625" customWidth="1"/>
    <col min="13" max="13" width="19.44140625" customWidth="1"/>
    <col min="14" max="14" width="19" customWidth="1"/>
  </cols>
  <sheetData>
    <row r="1" spans="1:15" x14ac:dyDescent="0.3">
      <c r="A1" t="s">
        <v>0</v>
      </c>
      <c r="B1" t="s">
        <v>4</v>
      </c>
      <c r="C1" t="s">
        <v>176</v>
      </c>
      <c r="D1" t="s">
        <v>166</v>
      </c>
      <c r="E1" t="s">
        <v>167</v>
      </c>
      <c r="F1" t="s">
        <v>168</v>
      </c>
      <c r="G1" t="s">
        <v>169</v>
      </c>
      <c r="H1" t="s">
        <v>170</v>
      </c>
      <c r="I1" t="s">
        <v>171</v>
      </c>
      <c r="J1" t="s">
        <v>172</v>
      </c>
      <c r="K1" t="s">
        <v>173</v>
      </c>
      <c r="M1" s="14" t="s">
        <v>151</v>
      </c>
      <c r="N1" s="3"/>
    </row>
    <row r="2" spans="1:15" x14ac:dyDescent="0.3">
      <c r="A2" s="16" t="s">
        <v>135</v>
      </c>
      <c r="B2" s="16">
        <v>7.75</v>
      </c>
      <c r="C2" s="16">
        <v>9.93</v>
      </c>
      <c r="D2" s="16">
        <v>17.420000000000002</v>
      </c>
      <c r="E2" s="16">
        <v>16.54</v>
      </c>
      <c r="F2" s="16">
        <v>162.71</v>
      </c>
      <c r="G2" s="16">
        <v>72.22</v>
      </c>
      <c r="H2" s="16">
        <v>0</v>
      </c>
      <c r="I2" s="16">
        <v>0</v>
      </c>
      <c r="J2" s="16">
        <v>0</v>
      </c>
      <c r="K2" s="16">
        <v>0</v>
      </c>
      <c r="M2" t="s">
        <v>53</v>
      </c>
    </row>
    <row r="3" spans="1:15" x14ac:dyDescent="0.3">
      <c r="A3" s="11" t="s">
        <v>132</v>
      </c>
      <c r="B3" s="11">
        <v>286.55</v>
      </c>
      <c r="C3" s="11">
        <v>-1.48</v>
      </c>
      <c r="D3" s="11">
        <v>0</v>
      </c>
      <c r="E3" s="11">
        <v>24.47</v>
      </c>
      <c r="F3" s="11">
        <v>36.36</v>
      </c>
      <c r="G3" s="11">
        <v>31.72</v>
      </c>
      <c r="H3" s="11">
        <v>-13.91</v>
      </c>
      <c r="I3" s="11">
        <v>0</v>
      </c>
      <c r="J3" s="11">
        <v>0</v>
      </c>
      <c r="K3" s="11">
        <v>0</v>
      </c>
      <c r="M3" t="s">
        <v>84</v>
      </c>
    </row>
    <row r="4" spans="1:15" x14ac:dyDescent="0.3">
      <c r="A4" s="11" t="s">
        <v>112</v>
      </c>
      <c r="B4" s="11">
        <v>348.35</v>
      </c>
      <c r="C4" s="11">
        <v>3.77</v>
      </c>
      <c r="D4" s="11">
        <v>6.61</v>
      </c>
      <c r="E4" s="11">
        <v>19.97</v>
      </c>
      <c r="F4" s="11">
        <v>27.18</v>
      </c>
      <c r="G4" s="11">
        <v>24.59</v>
      </c>
      <c r="H4" s="11">
        <v>0</v>
      </c>
      <c r="I4" s="11">
        <v>0</v>
      </c>
      <c r="J4" s="11">
        <v>0</v>
      </c>
      <c r="K4" s="11">
        <v>0</v>
      </c>
      <c r="M4" t="s">
        <v>130</v>
      </c>
      <c r="N4" s="40"/>
    </row>
    <row r="5" spans="1:15" x14ac:dyDescent="0.3">
      <c r="A5" s="11" t="s">
        <v>100</v>
      </c>
      <c r="B5" s="11">
        <v>118.8</v>
      </c>
      <c r="C5" s="11">
        <v>1.58</v>
      </c>
      <c r="D5" s="11">
        <v>4.0599999999999996</v>
      </c>
      <c r="E5" s="11">
        <v>24.24</v>
      </c>
      <c r="F5" s="11">
        <v>24.31</v>
      </c>
      <c r="G5" s="11">
        <v>23.15</v>
      </c>
      <c r="H5" s="11">
        <v>0</v>
      </c>
      <c r="I5" s="11">
        <v>0</v>
      </c>
      <c r="J5" s="11">
        <v>0</v>
      </c>
      <c r="K5" s="11">
        <v>0</v>
      </c>
      <c r="M5" t="s">
        <v>78</v>
      </c>
      <c r="N5" s="41"/>
    </row>
    <row r="6" spans="1:15" x14ac:dyDescent="0.3">
      <c r="A6" s="11" t="s">
        <v>18</v>
      </c>
      <c r="B6" s="11">
        <v>460.8</v>
      </c>
      <c r="C6" s="11">
        <v>0.37</v>
      </c>
      <c r="D6" s="11">
        <v>5.67</v>
      </c>
      <c r="E6" s="11">
        <v>8.23</v>
      </c>
      <c r="F6" s="11">
        <v>27.28</v>
      </c>
      <c r="G6" s="11">
        <v>22.06</v>
      </c>
      <c r="H6" s="11">
        <v>0</v>
      </c>
      <c r="I6" s="11">
        <v>0</v>
      </c>
      <c r="J6" s="11">
        <v>0</v>
      </c>
      <c r="K6" s="11">
        <v>0</v>
      </c>
      <c r="M6" t="s">
        <v>37</v>
      </c>
      <c r="N6" s="41"/>
    </row>
    <row r="7" spans="1:15" x14ac:dyDescent="0.3">
      <c r="A7" s="11" t="s">
        <v>93</v>
      </c>
      <c r="B7" s="11">
        <v>372</v>
      </c>
      <c r="C7" s="11">
        <v>1.65</v>
      </c>
      <c r="D7" s="11">
        <v>0</v>
      </c>
      <c r="E7" s="11">
        <v>11.35</v>
      </c>
      <c r="F7" s="11">
        <v>17.260000000000002</v>
      </c>
      <c r="G7" s="11">
        <v>20.43</v>
      </c>
      <c r="H7" s="11">
        <v>-2.13</v>
      </c>
      <c r="I7" s="11">
        <v>0</v>
      </c>
      <c r="J7" s="11">
        <v>0</v>
      </c>
      <c r="K7" s="11">
        <v>0</v>
      </c>
      <c r="M7" t="s">
        <v>114</v>
      </c>
      <c r="N7" s="38"/>
      <c r="O7" s="39"/>
    </row>
    <row r="8" spans="1:15" x14ac:dyDescent="0.3">
      <c r="A8" s="11" t="s">
        <v>145</v>
      </c>
      <c r="B8" s="11">
        <v>219.75</v>
      </c>
      <c r="C8" s="11">
        <v>0.39</v>
      </c>
      <c r="D8" s="11">
        <v>1.06</v>
      </c>
      <c r="E8" s="11">
        <v>1.57</v>
      </c>
      <c r="F8" s="11">
        <v>5.43</v>
      </c>
      <c r="G8" s="11">
        <v>19.510000000000002</v>
      </c>
      <c r="H8" s="11">
        <v>0</v>
      </c>
      <c r="I8" s="11">
        <v>0</v>
      </c>
      <c r="J8" s="11">
        <v>0</v>
      </c>
      <c r="K8" s="11">
        <v>0</v>
      </c>
      <c r="M8" t="s">
        <v>18</v>
      </c>
      <c r="N8" s="23"/>
      <c r="O8" s="39"/>
    </row>
    <row r="9" spans="1:15" x14ac:dyDescent="0.3">
      <c r="A9" s="11" t="s">
        <v>46</v>
      </c>
      <c r="B9" s="11">
        <v>513.04999999999995</v>
      </c>
      <c r="C9" s="11">
        <v>-2.62</v>
      </c>
      <c r="D9" s="11">
        <v>0</v>
      </c>
      <c r="E9" s="11">
        <v>1.63</v>
      </c>
      <c r="F9" s="11">
        <v>7.51</v>
      </c>
      <c r="G9" s="11">
        <v>19.309999999999999</v>
      </c>
      <c r="H9" s="11">
        <v>0</v>
      </c>
      <c r="I9" s="11">
        <v>0</v>
      </c>
      <c r="J9" s="11">
        <v>0</v>
      </c>
      <c r="K9" s="11">
        <v>0</v>
      </c>
      <c r="M9" t="s">
        <v>126</v>
      </c>
      <c r="N9" s="23"/>
      <c r="O9" s="39"/>
    </row>
    <row r="10" spans="1:15" x14ac:dyDescent="0.3">
      <c r="A10" s="11" t="s">
        <v>120</v>
      </c>
      <c r="B10" s="11">
        <v>473</v>
      </c>
      <c r="C10" s="11">
        <v>0.22</v>
      </c>
      <c r="D10" s="11">
        <v>2.73</v>
      </c>
      <c r="E10" s="11">
        <v>4.9400000000000004</v>
      </c>
      <c r="F10" s="11">
        <v>17.37</v>
      </c>
      <c r="G10" s="11">
        <v>16.86</v>
      </c>
      <c r="H10" s="11">
        <v>0</v>
      </c>
      <c r="I10" s="11">
        <v>0</v>
      </c>
      <c r="J10" s="11">
        <v>0</v>
      </c>
      <c r="K10" s="11">
        <v>0</v>
      </c>
      <c r="M10" t="s">
        <v>121</v>
      </c>
      <c r="N10" s="23"/>
    </row>
    <row r="11" spans="1:15" x14ac:dyDescent="0.3">
      <c r="A11" s="11" t="s">
        <v>80</v>
      </c>
      <c r="B11" s="11">
        <v>247.4</v>
      </c>
      <c r="C11" s="11">
        <v>-0.42</v>
      </c>
      <c r="D11" s="11">
        <v>0</v>
      </c>
      <c r="E11" s="11">
        <v>2.91</v>
      </c>
      <c r="F11" s="11">
        <v>19.309999999999999</v>
      </c>
      <c r="G11" s="11">
        <v>15.87</v>
      </c>
      <c r="H11" s="11">
        <v>-2.98</v>
      </c>
      <c r="I11" s="11">
        <v>0</v>
      </c>
      <c r="J11" s="11">
        <v>0</v>
      </c>
      <c r="K11" s="11">
        <v>0</v>
      </c>
      <c r="M11" t="s">
        <v>94</v>
      </c>
      <c r="N11" s="23"/>
    </row>
    <row r="12" spans="1:15" x14ac:dyDescent="0.3">
      <c r="A12" s="11" t="s">
        <v>134</v>
      </c>
      <c r="B12" s="11">
        <v>1544.55</v>
      </c>
      <c r="C12" s="11">
        <v>-0.01</v>
      </c>
      <c r="D12" s="11">
        <v>0</v>
      </c>
      <c r="E12" s="11">
        <v>6.79</v>
      </c>
      <c r="F12" s="11">
        <v>12.3</v>
      </c>
      <c r="G12" s="11">
        <v>14.2</v>
      </c>
      <c r="H12" s="11">
        <v>-1.53</v>
      </c>
      <c r="I12" s="11">
        <v>0</v>
      </c>
      <c r="J12" s="11">
        <v>0</v>
      </c>
      <c r="K12" s="11">
        <v>0</v>
      </c>
      <c r="M12" t="s">
        <v>91</v>
      </c>
      <c r="N12" s="23"/>
    </row>
    <row r="13" spans="1:15" x14ac:dyDescent="0.3">
      <c r="A13" s="11" t="s">
        <v>87</v>
      </c>
      <c r="B13" s="11">
        <v>743.1</v>
      </c>
      <c r="C13" s="11">
        <v>-0.66</v>
      </c>
      <c r="D13" s="11">
        <v>0</v>
      </c>
      <c r="E13" s="11">
        <v>0</v>
      </c>
      <c r="F13" s="11">
        <v>0</v>
      </c>
      <c r="G13" s="11">
        <v>13.04</v>
      </c>
      <c r="H13" s="11">
        <v>-1.36</v>
      </c>
      <c r="I13" s="11">
        <v>0</v>
      </c>
      <c r="J13" s="11">
        <v>0</v>
      </c>
      <c r="K13" s="11">
        <v>0</v>
      </c>
      <c r="M13" t="s">
        <v>59</v>
      </c>
    </row>
    <row r="14" spans="1:15" x14ac:dyDescent="0.3">
      <c r="A14" s="11" t="s">
        <v>108</v>
      </c>
      <c r="B14" s="11">
        <v>528.79999999999995</v>
      </c>
      <c r="C14" s="11">
        <v>3.82</v>
      </c>
      <c r="D14" s="11">
        <v>1.95</v>
      </c>
      <c r="E14" s="11">
        <v>6.22</v>
      </c>
      <c r="F14" s="11">
        <v>6.14</v>
      </c>
      <c r="G14" s="11">
        <v>12.49</v>
      </c>
      <c r="H14" s="11">
        <v>0</v>
      </c>
      <c r="I14" s="11">
        <v>0</v>
      </c>
      <c r="J14" s="11">
        <v>0</v>
      </c>
      <c r="K14" s="11">
        <v>0</v>
      </c>
      <c r="M14" t="s">
        <v>138</v>
      </c>
    </row>
    <row r="15" spans="1:15" x14ac:dyDescent="0.3">
      <c r="A15" s="11" t="s">
        <v>45</v>
      </c>
      <c r="B15" s="11">
        <v>153.5</v>
      </c>
      <c r="C15" s="11">
        <v>2.5</v>
      </c>
      <c r="D15" s="11">
        <v>0</v>
      </c>
      <c r="E15" s="11">
        <v>12.97</v>
      </c>
      <c r="F15" s="11">
        <v>10.1</v>
      </c>
      <c r="G15" s="11">
        <v>12.06</v>
      </c>
      <c r="H15" s="11">
        <v>-6.85</v>
      </c>
      <c r="I15" s="11">
        <v>0</v>
      </c>
      <c r="J15" s="11">
        <v>0</v>
      </c>
      <c r="K15" s="11">
        <v>0</v>
      </c>
      <c r="M15" t="s">
        <v>34</v>
      </c>
    </row>
    <row r="16" spans="1:15" x14ac:dyDescent="0.3">
      <c r="A16" s="11" t="s">
        <v>104</v>
      </c>
      <c r="B16" s="11">
        <v>262.7</v>
      </c>
      <c r="C16" s="11">
        <v>0.94</v>
      </c>
      <c r="D16" s="11">
        <v>1.8</v>
      </c>
      <c r="E16" s="11">
        <v>3.56</v>
      </c>
      <c r="F16" s="11">
        <v>12.47</v>
      </c>
      <c r="G16" s="11">
        <v>9.02</v>
      </c>
      <c r="H16" s="11">
        <v>0</v>
      </c>
      <c r="I16" s="11">
        <v>0</v>
      </c>
      <c r="J16" s="11">
        <v>0</v>
      </c>
      <c r="K16" s="11">
        <v>0</v>
      </c>
      <c r="M16" t="s">
        <v>99</v>
      </c>
    </row>
    <row r="17" spans="1:13" x14ac:dyDescent="0.3">
      <c r="A17" s="11" t="s">
        <v>133</v>
      </c>
      <c r="B17" s="11">
        <v>3187.1</v>
      </c>
      <c r="C17" s="11">
        <v>-0.59</v>
      </c>
      <c r="D17" s="11">
        <v>0</v>
      </c>
      <c r="E17" s="11">
        <v>1.56</v>
      </c>
      <c r="F17" s="11">
        <v>1.05</v>
      </c>
      <c r="G17" s="11">
        <v>8.9700000000000006</v>
      </c>
      <c r="H17" s="11">
        <v>0</v>
      </c>
      <c r="I17" s="11">
        <v>0</v>
      </c>
      <c r="J17" s="11">
        <v>0</v>
      </c>
      <c r="K17" s="11">
        <v>0</v>
      </c>
      <c r="M17" t="s">
        <v>32</v>
      </c>
    </row>
    <row r="18" spans="1:13" x14ac:dyDescent="0.3">
      <c r="A18" s="11" t="s">
        <v>40</v>
      </c>
      <c r="B18" s="11">
        <v>287.95</v>
      </c>
      <c r="C18" s="11">
        <v>0.79</v>
      </c>
      <c r="D18" s="11">
        <v>1.22</v>
      </c>
      <c r="E18" s="11">
        <v>12.92</v>
      </c>
      <c r="F18" s="11">
        <v>12.76</v>
      </c>
      <c r="G18" s="11">
        <v>8.9499999999999993</v>
      </c>
      <c r="H18" s="11">
        <v>0</v>
      </c>
      <c r="I18" s="11">
        <v>0</v>
      </c>
      <c r="J18" s="11">
        <v>0</v>
      </c>
      <c r="K18" s="11">
        <v>0</v>
      </c>
      <c r="M18" t="s">
        <v>111</v>
      </c>
    </row>
    <row r="19" spans="1:13" x14ac:dyDescent="0.3">
      <c r="A19" s="11" t="s">
        <v>75</v>
      </c>
      <c r="B19" s="11">
        <v>341.5</v>
      </c>
      <c r="C19" s="11">
        <v>1.56</v>
      </c>
      <c r="D19" s="11">
        <v>0</v>
      </c>
      <c r="E19" s="11">
        <v>3.17</v>
      </c>
      <c r="F19" s="11">
        <v>11.72</v>
      </c>
      <c r="G19" s="11">
        <v>8.77</v>
      </c>
      <c r="H19" s="11">
        <v>-2.13</v>
      </c>
      <c r="I19" s="11">
        <v>0</v>
      </c>
      <c r="J19" s="11">
        <v>0</v>
      </c>
      <c r="K19" s="11">
        <v>0</v>
      </c>
      <c r="M19" t="s">
        <v>97</v>
      </c>
    </row>
    <row r="20" spans="1:13" x14ac:dyDescent="0.3">
      <c r="A20" s="11" t="s">
        <v>52</v>
      </c>
      <c r="B20" s="11">
        <v>453</v>
      </c>
      <c r="C20" s="11">
        <v>1.26</v>
      </c>
      <c r="D20" s="11">
        <v>0</v>
      </c>
      <c r="E20" s="11">
        <v>9.98</v>
      </c>
      <c r="F20" s="11">
        <v>8.01</v>
      </c>
      <c r="G20" s="11">
        <v>7.85</v>
      </c>
      <c r="H20" s="11">
        <v>-2.94</v>
      </c>
      <c r="I20" s="11">
        <v>0</v>
      </c>
      <c r="J20" s="11">
        <v>0</v>
      </c>
      <c r="K20" s="11">
        <v>0</v>
      </c>
      <c r="M20" t="s">
        <v>81</v>
      </c>
    </row>
    <row r="21" spans="1:13" x14ac:dyDescent="0.3">
      <c r="A21" s="11" t="s">
        <v>64</v>
      </c>
      <c r="B21" s="11">
        <v>223.6</v>
      </c>
      <c r="C21" s="11">
        <v>2.99</v>
      </c>
      <c r="D21" s="11">
        <v>0</v>
      </c>
      <c r="E21" s="11">
        <v>0</v>
      </c>
      <c r="F21" s="11">
        <v>11.97</v>
      </c>
      <c r="G21" s="11">
        <v>7.79</v>
      </c>
      <c r="H21" s="11">
        <v>-3.49</v>
      </c>
      <c r="I21" s="11">
        <v>0</v>
      </c>
      <c r="J21" s="11">
        <v>0</v>
      </c>
      <c r="K21" s="11">
        <v>0</v>
      </c>
      <c r="M21" t="s">
        <v>10</v>
      </c>
    </row>
    <row r="22" spans="1:13" x14ac:dyDescent="0.3">
      <c r="A22" s="11" t="s">
        <v>123</v>
      </c>
      <c r="B22" s="11">
        <v>106</v>
      </c>
      <c r="C22" s="11">
        <v>3.47</v>
      </c>
      <c r="D22" s="11">
        <v>4.1399999999999997</v>
      </c>
      <c r="E22" s="11">
        <v>19.72</v>
      </c>
      <c r="F22" s="11">
        <v>24.88</v>
      </c>
      <c r="G22" s="11">
        <v>7.59</v>
      </c>
      <c r="H22" s="11">
        <v>0</v>
      </c>
      <c r="I22" s="11">
        <v>0</v>
      </c>
      <c r="J22" s="11">
        <v>0</v>
      </c>
      <c r="K22" s="11">
        <v>0</v>
      </c>
      <c r="M22" t="s">
        <v>113</v>
      </c>
    </row>
    <row r="23" spans="1:13" x14ac:dyDescent="0.3">
      <c r="A23" s="11" t="s">
        <v>106</v>
      </c>
      <c r="B23" s="11">
        <v>928.9</v>
      </c>
      <c r="C23" s="11">
        <v>1.24</v>
      </c>
      <c r="D23" s="11">
        <v>0</v>
      </c>
      <c r="E23" s="11">
        <v>9.3800000000000008</v>
      </c>
      <c r="F23" s="11">
        <v>12.21</v>
      </c>
      <c r="G23" s="11">
        <v>6.57</v>
      </c>
      <c r="H23" s="11">
        <v>-1.07</v>
      </c>
      <c r="I23" s="11">
        <v>0</v>
      </c>
      <c r="J23" s="11">
        <v>0</v>
      </c>
      <c r="K23" s="11">
        <v>0</v>
      </c>
      <c r="M23" t="s">
        <v>132</v>
      </c>
    </row>
    <row r="24" spans="1:13" x14ac:dyDescent="0.3">
      <c r="A24" s="11" t="s">
        <v>31</v>
      </c>
      <c r="B24" s="11">
        <v>1554.5</v>
      </c>
      <c r="C24" s="11">
        <v>-1.55</v>
      </c>
      <c r="D24" s="11">
        <v>0</v>
      </c>
      <c r="E24" s="11">
        <v>0</v>
      </c>
      <c r="F24" s="11">
        <v>6.15</v>
      </c>
      <c r="G24" s="11">
        <v>6.52</v>
      </c>
      <c r="H24" s="11">
        <v>-1.75</v>
      </c>
      <c r="I24" s="11">
        <v>0</v>
      </c>
      <c r="J24" s="11">
        <v>0</v>
      </c>
      <c r="K24" s="11">
        <v>0</v>
      </c>
      <c r="M24" t="s">
        <v>108</v>
      </c>
    </row>
    <row r="25" spans="1:13" x14ac:dyDescent="0.3">
      <c r="A25" s="11" t="s">
        <v>111</v>
      </c>
      <c r="B25" s="11">
        <v>2317</v>
      </c>
      <c r="C25" s="11">
        <v>-0.12</v>
      </c>
      <c r="D25" s="11">
        <v>0</v>
      </c>
      <c r="E25" s="11">
        <v>5.07</v>
      </c>
      <c r="F25" s="11">
        <v>4.29</v>
      </c>
      <c r="G25" s="11">
        <v>6.47</v>
      </c>
      <c r="H25" s="11">
        <v>0</v>
      </c>
      <c r="I25" s="11">
        <v>0</v>
      </c>
      <c r="J25" s="11">
        <v>0</v>
      </c>
      <c r="K25" s="11">
        <v>0</v>
      </c>
      <c r="M25" t="s">
        <v>134</v>
      </c>
    </row>
    <row r="26" spans="1:13" x14ac:dyDescent="0.3">
      <c r="A26" s="11" t="s">
        <v>20</v>
      </c>
      <c r="B26" s="11">
        <v>132.44999999999999</v>
      </c>
      <c r="C26" s="11">
        <v>0.88</v>
      </c>
      <c r="D26" s="11">
        <v>0</v>
      </c>
      <c r="E26" s="11">
        <v>8.67</v>
      </c>
      <c r="F26" s="11">
        <v>0</v>
      </c>
      <c r="G26" s="11">
        <v>5.81</v>
      </c>
      <c r="H26" s="11">
        <v>-1.08</v>
      </c>
      <c r="I26" s="11">
        <v>0</v>
      </c>
      <c r="J26" s="11">
        <v>-2.5299999999999998</v>
      </c>
      <c r="K26" s="11">
        <v>0</v>
      </c>
      <c r="M26" t="s">
        <v>80</v>
      </c>
    </row>
    <row r="27" spans="1:13" x14ac:dyDescent="0.3">
      <c r="A27" s="11" t="s">
        <v>28</v>
      </c>
      <c r="B27" s="11">
        <v>212.5</v>
      </c>
      <c r="C27" s="11">
        <v>2.2400000000000002</v>
      </c>
      <c r="D27" s="11">
        <v>0</v>
      </c>
      <c r="E27" s="11">
        <v>3.38</v>
      </c>
      <c r="F27" s="11">
        <v>5.0199999999999996</v>
      </c>
      <c r="G27" s="11">
        <v>5.75</v>
      </c>
      <c r="H27" s="11">
        <v>0</v>
      </c>
      <c r="I27" s="11">
        <v>0</v>
      </c>
      <c r="J27" s="11">
        <v>0</v>
      </c>
      <c r="K27" s="11">
        <v>0</v>
      </c>
      <c r="M27" t="s">
        <v>43</v>
      </c>
    </row>
    <row r="28" spans="1:13" x14ac:dyDescent="0.3">
      <c r="A28" s="11" t="s">
        <v>175</v>
      </c>
      <c r="B28" s="11">
        <v>0</v>
      </c>
      <c r="C28" s="11">
        <v>0</v>
      </c>
      <c r="D28" s="11">
        <v>0</v>
      </c>
      <c r="E28" s="11">
        <v>2.0099999999999998</v>
      </c>
      <c r="F28" s="11">
        <v>4</v>
      </c>
      <c r="G28" s="11">
        <v>5.43</v>
      </c>
      <c r="H28" s="11">
        <v>0</v>
      </c>
      <c r="I28" s="11">
        <v>0</v>
      </c>
      <c r="J28" s="11">
        <v>0</v>
      </c>
      <c r="K28" s="11">
        <v>0</v>
      </c>
      <c r="M28" t="s">
        <v>136</v>
      </c>
    </row>
    <row r="29" spans="1:13" x14ac:dyDescent="0.3">
      <c r="A29" s="11" t="s">
        <v>68</v>
      </c>
      <c r="B29" s="11">
        <v>412.25</v>
      </c>
      <c r="C29" s="11">
        <v>-1.87</v>
      </c>
      <c r="D29" s="11">
        <v>0</v>
      </c>
      <c r="E29" s="11">
        <v>0</v>
      </c>
      <c r="F29" s="11">
        <v>0</v>
      </c>
      <c r="G29" s="11">
        <v>5.43</v>
      </c>
      <c r="H29" s="11">
        <v>0</v>
      </c>
      <c r="I29" s="11">
        <v>-1.02</v>
      </c>
      <c r="J29" s="11">
        <v>-2.79</v>
      </c>
      <c r="K29" s="11">
        <v>0</v>
      </c>
      <c r="M29" t="s">
        <v>83</v>
      </c>
    </row>
    <row r="30" spans="1:13" x14ac:dyDescent="0.3">
      <c r="A30" s="11" t="s">
        <v>72</v>
      </c>
      <c r="B30" s="11">
        <v>1648.6</v>
      </c>
      <c r="C30" s="11">
        <v>0.11</v>
      </c>
      <c r="D30" s="11">
        <v>2.2400000000000002</v>
      </c>
      <c r="E30" s="11">
        <v>3.51</v>
      </c>
      <c r="F30" s="11">
        <v>3.36</v>
      </c>
      <c r="G30" s="11">
        <v>5.0999999999999996</v>
      </c>
      <c r="H30" s="11">
        <v>0</v>
      </c>
      <c r="I30" s="11">
        <v>0</v>
      </c>
      <c r="J30" s="11">
        <v>0</v>
      </c>
      <c r="K30" s="11">
        <v>0</v>
      </c>
      <c r="M30" t="s">
        <v>152</v>
      </c>
    </row>
    <row r="31" spans="1:13" x14ac:dyDescent="0.3">
      <c r="A31" s="11" t="s">
        <v>140</v>
      </c>
      <c r="B31" s="11">
        <v>1024.1500000000001</v>
      </c>
      <c r="C31" s="11">
        <v>-0.27</v>
      </c>
      <c r="D31" s="11">
        <v>0</v>
      </c>
      <c r="E31" s="11">
        <v>0</v>
      </c>
      <c r="F31" s="11">
        <v>0</v>
      </c>
      <c r="G31" s="11">
        <v>5.0999999999999996</v>
      </c>
      <c r="H31" s="11">
        <v>-1.5</v>
      </c>
      <c r="I31" s="11">
        <v>-1.41</v>
      </c>
      <c r="J31" s="11">
        <v>0</v>
      </c>
      <c r="K31" s="11">
        <v>0</v>
      </c>
      <c r="M31" t="s">
        <v>72</v>
      </c>
    </row>
    <row r="32" spans="1:13" x14ac:dyDescent="0.3">
      <c r="A32" s="11" t="s">
        <v>57</v>
      </c>
      <c r="B32" s="11">
        <v>45.8</v>
      </c>
      <c r="C32" s="11">
        <v>1.44</v>
      </c>
      <c r="D32" s="11">
        <v>3.39</v>
      </c>
      <c r="E32" s="11">
        <v>6.26</v>
      </c>
      <c r="F32" s="11">
        <v>9.83</v>
      </c>
      <c r="G32" s="11">
        <v>4.8099999999999996</v>
      </c>
      <c r="H32" s="11">
        <v>0</v>
      </c>
      <c r="I32" s="11">
        <v>0</v>
      </c>
      <c r="J32" s="11">
        <v>0</v>
      </c>
      <c r="K32" s="11">
        <v>0</v>
      </c>
      <c r="M32" t="s">
        <v>36</v>
      </c>
    </row>
    <row r="33" spans="1:13" x14ac:dyDescent="0.3">
      <c r="A33" s="11" t="s">
        <v>107</v>
      </c>
      <c r="B33" s="11">
        <v>667</v>
      </c>
      <c r="C33" s="11">
        <v>0.97</v>
      </c>
      <c r="D33" s="11">
        <v>0</v>
      </c>
      <c r="E33" s="11">
        <v>4.18</v>
      </c>
      <c r="F33" s="11">
        <v>5.41</v>
      </c>
      <c r="G33" s="11">
        <v>4.67</v>
      </c>
      <c r="H33" s="11">
        <v>0</v>
      </c>
      <c r="I33" s="11">
        <v>0</v>
      </c>
      <c r="J33" s="11">
        <v>0</v>
      </c>
      <c r="K33" s="11">
        <v>0</v>
      </c>
      <c r="M33" t="s">
        <v>128</v>
      </c>
    </row>
    <row r="34" spans="1:13" x14ac:dyDescent="0.3">
      <c r="A34" s="11" t="s">
        <v>79</v>
      </c>
      <c r="B34" s="11">
        <v>747.3</v>
      </c>
      <c r="C34" s="11">
        <v>4.21</v>
      </c>
      <c r="D34" s="11">
        <v>6.18</v>
      </c>
      <c r="E34" s="11">
        <v>5.16</v>
      </c>
      <c r="F34" s="11">
        <v>8.3000000000000007</v>
      </c>
      <c r="G34" s="11">
        <v>4.54</v>
      </c>
      <c r="H34" s="11">
        <v>0</v>
      </c>
      <c r="I34" s="11">
        <v>0</v>
      </c>
      <c r="J34" s="11">
        <v>0</v>
      </c>
      <c r="K34" s="11">
        <v>0</v>
      </c>
      <c r="M34" t="s">
        <v>25</v>
      </c>
    </row>
    <row r="35" spans="1:13" x14ac:dyDescent="0.3">
      <c r="A35" s="11" t="s">
        <v>41</v>
      </c>
      <c r="B35" s="11">
        <v>1803</v>
      </c>
      <c r="C35" s="11">
        <v>0.44</v>
      </c>
      <c r="D35" s="11">
        <v>0</v>
      </c>
      <c r="E35" s="11">
        <v>3.57</v>
      </c>
      <c r="F35" s="11">
        <v>9.23</v>
      </c>
      <c r="G35" s="11">
        <v>4.28</v>
      </c>
      <c r="H35" s="11">
        <v>0</v>
      </c>
      <c r="I35" s="11">
        <v>0</v>
      </c>
      <c r="J35" s="11">
        <v>0</v>
      </c>
      <c r="K35" s="11">
        <v>0</v>
      </c>
      <c r="M35" t="s">
        <v>151</v>
      </c>
    </row>
    <row r="36" spans="1:13" x14ac:dyDescent="0.3">
      <c r="A36" s="11" t="s">
        <v>15</v>
      </c>
      <c r="B36" s="11">
        <v>791</v>
      </c>
      <c r="C36" s="11">
        <v>0.63</v>
      </c>
      <c r="D36" s="11">
        <v>0</v>
      </c>
      <c r="E36" s="11">
        <v>2.71</v>
      </c>
      <c r="F36" s="11">
        <v>7.25</v>
      </c>
      <c r="G36" s="11">
        <v>4.2</v>
      </c>
      <c r="H36" s="11">
        <v>-1.55</v>
      </c>
      <c r="I36" s="11">
        <v>0</v>
      </c>
      <c r="J36" s="11">
        <v>0</v>
      </c>
      <c r="K36" s="11">
        <v>0</v>
      </c>
      <c r="M36" t="s">
        <v>66</v>
      </c>
    </row>
    <row r="37" spans="1:13" x14ac:dyDescent="0.3">
      <c r="A37" s="11" t="s">
        <v>33</v>
      </c>
      <c r="B37" s="11">
        <v>318</v>
      </c>
      <c r="C37" s="11">
        <v>1.1499999999999999</v>
      </c>
      <c r="D37" s="11">
        <v>0</v>
      </c>
      <c r="E37" s="11">
        <v>5.67</v>
      </c>
      <c r="F37" s="11">
        <v>7.92</v>
      </c>
      <c r="G37" s="11">
        <v>4.01</v>
      </c>
      <c r="H37" s="11">
        <v>0</v>
      </c>
      <c r="I37" s="11">
        <v>0</v>
      </c>
      <c r="J37" s="11">
        <v>0</v>
      </c>
      <c r="K37" s="11">
        <v>0</v>
      </c>
      <c r="M37" t="s">
        <v>156</v>
      </c>
    </row>
    <row r="38" spans="1:13" x14ac:dyDescent="0.3">
      <c r="A38" s="11" t="s">
        <v>17</v>
      </c>
      <c r="B38" s="11">
        <v>1476</v>
      </c>
      <c r="C38" s="11">
        <v>5.0999999999999996</v>
      </c>
      <c r="D38" s="11">
        <v>1.78</v>
      </c>
      <c r="E38" s="11">
        <v>1.02</v>
      </c>
      <c r="F38" s="11">
        <v>3.6</v>
      </c>
      <c r="G38" s="11">
        <v>3.92</v>
      </c>
      <c r="H38" s="11">
        <v>0</v>
      </c>
      <c r="I38" s="11">
        <v>0</v>
      </c>
      <c r="J38" s="11">
        <v>0</v>
      </c>
      <c r="K38" s="11">
        <v>0</v>
      </c>
      <c r="M38" t="s">
        <v>119</v>
      </c>
    </row>
    <row r="39" spans="1:13" x14ac:dyDescent="0.3">
      <c r="A39" s="11" t="s">
        <v>152</v>
      </c>
      <c r="B39" s="11">
        <v>259.8</v>
      </c>
      <c r="C39" s="11">
        <v>0.99</v>
      </c>
      <c r="D39" s="11">
        <v>0</v>
      </c>
      <c r="E39" s="11">
        <v>5.93</v>
      </c>
      <c r="F39" s="11">
        <v>5.72</v>
      </c>
      <c r="G39" s="11">
        <v>3.84</v>
      </c>
      <c r="H39" s="11">
        <v>-1.57</v>
      </c>
      <c r="I39" s="11">
        <v>0</v>
      </c>
      <c r="J39" s="11">
        <v>0</v>
      </c>
      <c r="K39" s="11">
        <v>0</v>
      </c>
      <c r="M39" t="s">
        <v>31</v>
      </c>
    </row>
    <row r="40" spans="1:13" x14ac:dyDescent="0.3">
      <c r="A40" s="11" t="s">
        <v>37</v>
      </c>
      <c r="B40" s="11">
        <v>8993</v>
      </c>
      <c r="C40" s="11">
        <v>-1.06</v>
      </c>
      <c r="D40" s="11">
        <v>0</v>
      </c>
      <c r="E40" s="11">
        <v>0</v>
      </c>
      <c r="F40" s="11">
        <v>0</v>
      </c>
      <c r="G40" s="11">
        <v>3.72</v>
      </c>
      <c r="H40" s="11">
        <v>-2.27</v>
      </c>
      <c r="I40" s="11">
        <v>0</v>
      </c>
      <c r="J40" s="11">
        <v>0</v>
      </c>
      <c r="K40" s="11">
        <v>0</v>
      </c>
      <c r="M40" t="s">
        <v>75</v>
      </c>
    </row>
    <row r="41" spans="1:13" x14ac:dyDescent="0.3">
      <c r="A41" s="11" t="s">
        <v>137</v>
      </c>
      <c r="B41" s="11">
        <v>1871</v>
      </c>
      <c r="C41" s="11">
        <v>-3.24</v>
      </c>
      <c r="D41" s="11">
        <v>0</v>
      </c>
      <c r="E41" s="11">
        <v>7.79</v>
      </c>
      <c r="F41" s="11">
        <v>5.8</v>
      </c>
      <c r="G41" s="11">
        <v>3.52</v>
      </c>
      <c r="H41" s="11">
        <v>0</v>
      </c>
      <c r="I41" s="11">
        <v>0</v>
      </c>
      <c r="J41" s="11">
        <v>0</v>
      </c>
      <c r="K41" s="11">
        <v>0</v>
      </c>
      <c r="M41" t="s">
        <v>73</v>
      </c>
    </row>
    <row r="42" spans="1:13" x14ac:dyDescent="0.3">
      <c r="A42" s="11" t="s">
        <v>109</v>
      </c>
      <c r="B42" s="11">
        <v>77.400000000000006</v>
      </c>
      <c r="C42" s="11">
        <v>-0.39</v>
      </c>
      <c r="D42" s="11">
        <v>0</v>
      </c>
      <c r="E42" s="11">
        <v>0</v>
      </c>
      <c r="F42" s="11">
        <v>0</v>
      </c>
      <c r="G42" s="11">
        <v>3.13</v>
      </c>
      <c r="H42" s="11">
        <v>-4.79</v>
      </c>
      <c r="I42" s="11">
        <v>-6</v>
      </c>
      <c r="J42" s="11">
        <v>-1.84</v>
      </c>
      <c r="K42" s="11">
        <v>0</v>
      </c>
      <c r="M42" t="s">
        <v>9</v>
      </c>
    </row>
    <row r="43" spans="1:13" x14ac:dyDescent="0.3">
      <c r="A43" s="11" t="s">
        <v>63</v>
      </c>
      <c r="B43" s="11">
        <v>113.3</v>
      </c>
      <c r="C43" s="11">
        <v>4.8099999999999996</v>
      </c>
      <c r="D43" s="11">
        <v>7.95</v>
      </c>
      <c r="E43" s="11">
        <v>13.69</v>
      </c>
      <c r="F43" s="11">
        <v>15.02</v>
      </c>
      <c r="G43" s="11">
        <v>3.05</v>
      </c>
      <c r="H43" s="11">
        <v>0</v>
      </c>
      <c r="I43" s="11">
        <v>0</v>
      </c>
      <c r="J43" s="11">
        <v>0</v>
      </c>
      <c r="K43" s="11">
        <v>0</v>
      </c>
      <c r="M43" t="s">
        <v>26</v>
      </c>
    </row>
    <row r="44" spans="1:13" x14ac:dyDescent="0.3">
      <c r="A44" s="11" t="s">
        <v>55</v>
      </c>
      <c r="B44" s="11">
        <v>324.5</v>
      </c>
      <c r="C44" s="11">
        <v>-0.78</v>
      </c>
      <c r="D44" s="11">
        <v>0</v>
      </c>
      <c r="E44" s="11">
        <v>0</v>
      </c>
      <c r="F44" s="11">
        <v>15.33</v>
      </c>
      <c r="G44" s="11">
        <v>2.89</v>
      </c>
      <c r="H44" s="11">
        <v>-5.56</v>
      </c>
      <c r="I44" s="11">
        <v>-6.94</v>
      </c>
      <c r="J44" s="11">
        <v>0</v>
      </c>
      <c r="K44" s="11">
        <v>0</v>
      </c>
      <c r="M44" t="s">
        <v>39</v>
      </c>
    </row>
    <row r="45" spans="1:13" x14ac:dyDescent="0.3">
      <c r="A45" s="11" t="s">
        <v>59</v>
      </c>
      <c r="B45" s="11">
        <v>2880.25</v>
      </c>
      <c r="C45" s="11">
        <v>0.77</v>
      </c>
      <c r="D45" s="11">
        <v>0</v>
      </c>
      <c r="E45" s="11">
        <v>0</v>
      </c>
      <c r="F45" s="11">
        <v>5.26</v>
      </c>
      <c r="G45" s="11">
        <v>2.86</v>
      </c>
      <c r="H45" s="11">
        <v>-3.32</v>
      </c>
      <c r="I45" s="11">
        <v>0</v>
      </c>
      <c r="J45" s="11">
        <v>0</v>
      </c>
      <c r="K45" s="11">
        <v>0</v>
      </c>
      <c r="M45" t="s">
        <v>48</v>
      </c>
    </row>
    <row r="46" spans="1:13" x14ac:dyDescent="0.3">
      <c r="A46" s="11" t="s">
        <v>115</v>
      </c>
      <c r="B46" s="11">
        <v>21.4</v>
      </c>
      <c r="C46" s="11">
        <v>2.15</v>
      </c>
      <c r="D46" s="11">
        <v>0</v>
      </c>
      <c r="E46" s="11">
        <v>3.38</v>
      </c>
      <c r="F46" s="11">
        <v>1.9</v>
      </c>
      <c r="G46" s="11">
        <v>2.64</v>
      </c>
      <c r="H46" s="11">
        <v>-2.5099999999999998</v>
      </c>
      <c r="I46" s="11">
        <v>0</v>
      </c>
      <c r="J46" s="11">
        <v>0</v>
      </c>
      <c r="K46" s="11">
        <v>0</v>
      </c>
      <c r="M46" t="s">
        <v>129</v>
      </c>
    </row>
    <row r="47" spans="1:13" x14ac:dyDescent="0.3">
      <c r="A47" s="11" t="s">
        <v>85</v>
      </c>
      <c r="B47" s="11">
        <v>1782</v>
      </c>
      <c r="C47" s="11">
        <v>-1.23</v>
      </c>
      <c r="D47" s="11">
        <v>0</v>
      </c>
      <c r="E47" s="11">
        <v>0</v>
      </c>
      <c r="F47" s="11">
        <v>1.99</v>
      </c>
      <c r="G47" s="11">
        <v>2.5499999999999998</v>
      </c>
      <c r="H47" s="11">
        <v>0</v>
      </c>
      <c r="I47" s="11">
        <v>0</v>
      </c>
      <c r="J47" s="11">
        <v>0</v>
      </c>
      <c r="K47" s="11">
        <v>0</v>
      </c>
      <c r="M47" t="s">
        <v>58</v>
      </c>
    </row>
    <row r="48" spans="1:13" x14ac:dyDescent="0.3">
      <c r="A48" s="11" t="s">
        <v>142</v>
      </c>
      <c r="B48" s="11">
        <v>114.5</v>
      </c>
      <c r="C48" s="11">
        <v>0.56999999999999995</v>
      </c>
      <c r="D48" s="11">
        <v>0</v>
      </c>
      <c r="E48" s="11">
        <v>0</v>
      </c>
      <c r="F48" s="11">
        <v>2.37</v>
      </c>
      <c r="G48" s="11">
        <v>1.91</v>
      </c>
      <c r="H48" s="11">
        <v>-2.0099999999999998</v>
      </c>
      <c r="I48" s="11">
        <v>0</v>
      </c>
      <c r="J48" s="11">
        <v>0</v>
      </c>
      <c r="K48" s="11">
        <v>0</v>
      </c>
      <c r="M48" t="s">
        <v>139</v>
      </c>
    </row>
    <row r="49" spans="1:13" x14ac:dyDescent="0.3">
      <c r="A49" s="11" t="s">
        <v>21</v>
      </c>
      <c r="B49" s="11">
        <v>103.9</v>
      </c>
      <c r="C49" s="11">
        <v>2.77</v>
      </c>
      <c r="D49" s="11">
        <v>0</v>
      </c>
      <c r="E49" s="11">
        <v>5.22</v>
      </c>
      <c r="F49" s="11">
        <v>11.2</v>
      </c>
      <c r="G49" s="11">
        <v>1.77</v>
      </c>
      <c r="H49" s="11">
        <v>-2.4900000000000002</v>
      </c>
      <c r="I49" s="11">
        <v>0</v>
      </c>
      <c r="J49" s="11">
        <v>0</v>
      </c>
      <c r="K49" s="11">
        <v>0</v>
      </c>
      <c r="M49" t="s">
        <v>30</v>
      </c>
    </row>
    <row r="50" spans="1:13" x14ac:dyDescent="0.3">
      <c r="A50" s="11" t="s">
        <v>82</v>
      </c>
      <c r="B50" s="11">
        <v>20427.25</v>
      </c>
      <c r="C50" s="11">
        <v>-0.46</v>
      </c>
      <c r="D50" s="11">
        <v>0</v>
      </c>
      <c r="E50" s="11">
        <v>0</v>
      </c>
      <c r="F50" s="11">
        <v>3.9</v>
      </c>
      <c r="G50" s="11">
        <v>1.64</v>
      </c>
      <c r="H50" s="11">
        <v>-3.53</v>
      </c>
      <c r="I50" s="11">
        <v>0</v>
      </c>
      <c r="J50" s="11">
        <v>0</v>
      </c>
      <c r="K50" s="11">
        <v>0</v>
      </c>
      <c r="M50" t="s">
        <v>22</v>
      </c>
    </row>
    <row r="51" spans="1:13" x14ac:dyDescent="0.3">
      <c r="A51" s="11" t="s">
        <v>65</v>
      </c>
      <c r="B51" s="11">
        <v>59.65</v>
      </c>
      <c r="C51" s="11">
        <v>0.76</v>
      </c>
      <c r="D51" s="11">
        <v>0</v>
      </c>
      <c r="E51" s="11">
        <v>3.74</v>
      </c>
      <c r="F51" s="11">
        <v>14.15</v>
      </c>
      <c r="G51" s="11">
        <v>1.62</v>
      </c>
      <c r="H51" s="11">
        <v>-7.87</v>
      </c>
      <c r="I51" s="11">
        <v>0</v>
      </c>
      <c r="J51" s="11">
        <v>0</v>
      </c>
      <c r="K51" s="11">
        <v>0</v>
      </c>
      <c r="M51" t="s">
        <v>67</v>
      </c>
    </row>
    <row r="52" spans="1:13" x14ac:dyDescent="0.3">
      <c r="A52" s="11" t="s">
        <v>10</v>
      </c>
      <c r="B52" s="11">
        <v>201.1</v>
      </c>
      <c r="C52" s="11">
        <v>2.6</v>
      </c>
      <c r="D52" s="11">
        <v>0</v>
      </c>
      <c r="E52" s="11">
        <v>6.63</v>
      </c>
      <c r="F52" s="11">
        <v>6.68</v>
      </c>
      <c r="G52" s="11">
        <v>1.59</v>
      </c>
      <c r="H52" s="11">
        <v>-1.47</v>
      </c>
      <c r="I52" s="11">
        <v>0</v>
      </c>
      <c r="J52" s="11">
        <v>0</v>
      </c>
      <c r="K52" s="11">
        <v>0</v>
      </c>
      <c r="M52" t="s">
        <v>143</v>
      </c>
    </row>
    <row r="53" spans="1:13" x14ac:dyDescent="0.3">
      <c r="A53" s="11" t="s">
        <v>73</v>
      </c>
      <c r="B53" s="11">
        <v>443.05</v>
      </c>
      <c r="C53" s="11">
        <v>2.1800000000000002</v>
      </c>
      <c r="D53" s="11">
        <v>0</v>
      </c>
      <c r="E53" s="11">
        <v>0</v>
      </c>
      <c r="F53" s="11">
        <v>8.17</v>
      </c>
      <c r="G53" s="11">
        <v>1.31</v>
      </c>
      <c r="H53" s="11">
        <v>-2.98</v>
      </c>
      <c r="I53" s="11">
        <v>0</v>
      </c>
      <c r="J53" s="11">
        <v>0</v>
      </c>
      <c r="K53" s="11">
        <v>0</v>
      </c>
    </row>
    <row r="54" spans="1:13" x14ac:dyDescent="0.3">
      <c r="A54" s="11" t="s">
        <v>51</v>
      </c>
      <c r="B54" s="11">
        <v>1580.25</v>
      </c>
      <c r="C54" s="11">
        <v>0.12</v>
      </c>
      <c r="D54" s="11">
        <v>0</v>
      </c>
      <c r="E54" s="11">
        <v>0</v>
      </c>
      <c r="F54" s="11">
        <v>0</v>
      </c>
      <c r="G54" s="11">
        <v>1.26</v>
      </c>
      <c r="H54" s="11">
        <v>-2.62</v>
      </c>
      <c r="I54" s="11">
        <v>0</v>
      </c>
      <c r="J54" s="11">
        <v>-1.84</v>
      </c>
      <c r="K54" s="11">
        <v>0</v>
      </c>
    </row>
    <row r="55" spans="1:13" x14ac:dyDescent="0.3">
      <c r="A55" s="11" t="s">
        <v>78</v>
      </c>
      <c r="B55" s="11">
        <v>3250</v>
      </c>
      <c r="C55" s="11">
        <v>-0.3</v>
      </c>
      <c r="D55" s="11">
        <v>1.71</v>
      </c>
      <c r="E55" s="11">
        <v>1.97</v>
      </c>
      <c r="F55" s="11">
        <v>0</v>
      </c>
      <c r="G55" s="11">
        <v>1.22</v>
      </c>
      <c r="H55" s="11">
        <v>0</v>
      </c>
      <c r="I55" s="11">
        <v>0</v>
      </c>
      <c r="J55" s="11">
        <v>0</v>
      </c>
      <c r="K55" s="11">
        <v>0</v>
      </c>
    </row>
    <row r="56" spans="1:13" x14ac:dyDescent="0.3">
      <c r="A56" s="11" t="s">
        <v>97</v>
      </c>
      <c r="B56" s="11">
        <v>1251.6500000000001</v>
      </c>
      <c r="C56" s="11">
        <v>-0.3</v>
      </c>
      <c r="D56" s="11">
        <v>0</v>
      </c>
      <c r="E56" s="11">
        <v>0</v>
      </c>
      <c r="F56" s="11">
        <v>0</v>
      </c>
      <c r="G56" s="11">
        <v>1.2</v>
      </c>
      <c r="H56" s="11">
        <v>-1.08</v>
      </c>
      <c r="I56" s="11">
        <v>-2.4700000000000002</v>
      </c>
      <c r="J56" s="11">
        <v>-1.75</v>
      </c>
      <c r="K56" s="11">
        <v>0</v>
      </c>
    </row>
    <row r="57" spans="1:13" x14ac:dyDescent="0.3">
      <c r="A57" s="11" t="s">
        <v>153</v>
      </c>
      <c r="B57" s="11">
        <v>205.5</v>
      </c>
      <c r="C57" s="11">
        <v>1.71</v>
      </c>
      <c r="D57" s="11">
        <v>0</v>
      </c>
      <c r="E57" s="11">
        <v>2.19</v>
      </c>
      <c r="F57" s="11">
        <v>2.44</v>
      </c>
      <c r="G57" s="11">
        <v>1.03</v>
      </c>
      <c r="H57" s="11">
        <v>0</v>
      </c>
      <c r="I57" s="11">
        <v>0</v>
      </c>
      <c r="J57" s="11">
        <v>0</v>
      </c>
      <c r="K57" s="11">
        <v>0</v>
      </c>
    </row>
    <row r="58" spans="1:13" x14ac:dyDescent="0.3">
      <c r="A58" s="11" t="s">
        <v>12</v>
      </c>
      <c r="B58" s="11">
        <v>14.35</v>
      </c>
      <c r="C58" s="11">
        <v>16.670000000000002</v>
      </c>
      <c r="D58" s="11">
        <v>0</v>
      </c>
      <c r="E58" s="11">
        <v>0</v>
      </c>
      <c r="F58" s="11">
        <v>5.97</v>
      </c>
      <c r="G58" s="11">
        <v>0</v>
      </c>
      <c r="H58" s="11">
        <v>-5.33</v>
      </c>
      <c r="I58" s="11">
        <v>-10.41</v>
      </c>
      <c r="J58" s="11">
        <v>0</v>
      </c>
      <c r="K58" s="11">
        <v>-2.41</v>
      </c>
    </row>
    <row r="59" spans="1:13" x14ac:dyDescent="0.3">
      <c r="A59" s="11" t="s">
        <v>9</v>
      </c>
      <c r="B59" s="11">
        <v>169.3</v>
      </c>
      <c r="C59" s="11">
        <v>7.02</v>
      </c>
      <c r="D59" s="11">
        <v>2.79</v>
      </c>
      <c r="E59" s="11">
        <v>3.2</v>
      </c>
      <c r="F59" s="11">
        <v>1.41</v>
      </c>
      <c r="G59" s="11">
        <v>0</v>
      </c>
      <c r="H59" s="11">
        <v>0</v>
      </c>
      <c r="I59" s="11">
        <v>0</v>
      </c>
      <c r="J59" s="11">
        <v>0</v>
      </c>
      <c r="K59" s="11">
        <v>-1.63</v>
      </c>
    </row>
    <row r="60" spans="1:13" x14ac:dyDescent="0.3">
      <c r="A60" s="11" t="s">
        <v>67</v>
      </c>
      <c r="B60" s="11">
        <v>63</v>
      </c>
      <c r="C60" s="11">
        <v>5.88</v>
      </c>
      <c r="D60" s="11">
        <v>0</v>
      </c>
      <c r="E60" s="11">
        <v>0</v>
      </c>
      <c r="F60" s="11">
        <v>0</v>
      </c>
      <c r="G60" s="11">
        <v>0</v>
      </c>
      <c r="H60" s="11">
        <v>-10.06</v>
      </c>
      <c r="I60" s="11">
        <v>-1.95</v>
      </c>
      <c r="J60" s="11">
        <v>-8.36</v>
      </c>
      <c r="K60" s="11">
        <v>-4.76</v>
      </c>
    </row>
    <row r="61" spans="1:13" x14ac:dyDescent="0.3">
      <c r="A61" s="11" t="s">
        <v>8</v>
      </c>
      <c r="B61" s="11">
        <v>70.2</v>
      </c>
      <c r="C61" s="11">
        <v>5.33</v>
      </c>
      <c r="D61" s="11">
        <v>0</v>
      </c>
      <c r="E61" s="11">
        <v>0</v>
      </c>
      <c r="F61" s="11">
        <v>0</v>
      </c>
      <c r="G61" s="11">
        <v>0</v>
      </c>
      <c r="H61" s="11">
        <v>-4.16</v>
      </c>
      <c r="I61" s="11">
        <v>-6.77</v>
      </c>
      <c r="J61" s="11">
        <v>-8.35</v>
      </c>
      <c r="K61" s="11">
        <v>-12.46</v>
      </c>
    </row>
    <row r="62" spans="1:13" x14ac:dyDescent="0.3">
      <c r="A62" s="11" t="s">
        <v>86</v>
      </c>
      <c r="B62" s="11">
        <v>562.95000000000005</v>
      </c>
      <c r="C62" s="11">
        <v>3.55</v>
      </c>
      <c r="D62" s="11">
        <v>0</v>
      </c>
      <c r="E62" s="11">
        <v>3.07</v>
      </c>
      <c r="F62" s="11">
        <v>9.7899999999999991</v>
      </c>
      <c r="G62" s="11">
        <v>0</v>
      </c>
      <c r="H62" s="11">
        <v>0</v>
      </c>
      <c r="I62" s="11">
        <v>0</v>
      </c>
      <c r="J62" s="11">
        <v>0</v>
      </c>
      <c r="K62" s="11">
        <v>0</v>
      </c>
    </row>
    <row r="63" spans="1:13" x14ac:dyDescent="0.3">
      <c r="A63" s="11" t="s">
        <v>27</v>
      </c>
      <c r="B63" s="11">
        <v>39.35</v>
      </c>
      <c r="C63" s="11">
        <v>3.42</v>
      </c>
      <c r="D63" s="11">
        <v>0</v>
      </c>
      <c r="E63" s="11">
        <v>8.5500000000000007</v>
      </c>
      <c r="F63" s="11">
        <v>5.5</v>
      </c>
      <c r="G63" s="11">
        <v>0</v>
      </c>
      <c r="H63" s="11">
        <v>-1.38</v>
      </c>
      <c r="I63" s="11">
        <v>0</v>
      </c>
      <c r="J63" s="11">
        <v>0</v>
      </c>
      <c r="K63" s="11">
        <v>-2.36</v>
      </c>
    </row>
    <row r="64" spans="1:13" x14ac:dyDescent="0.3">
      <c r="A64" s="11" t="s">
        <v>11</v>
      </c>
      <c r="B64" s="11">
        <v>336.9</v>
      </c>
      <c r="C64" s="11">
        <v>3.19</v>
      </c>
      <c r="D64" s="11">
        <v>0</v>
      </c>
      <c r="E64" s="11">
        <v>0</v>
      </c>
      <c r="F64" s="11">
        <v>1.66</v>
      </c>
      <c r="G64" s="11">
        <v>0</v>
      </c>
      <c r="H64" s="11">
        <v>-1.75</v>
      </c>
      <c r="I64" s="11">
        <v>0</v>
      </c>
      <c r="J64" s="11">
        <v>0</v>
      </c>
      <c r="K64" s="11">
        <v>0</v>
      </c>
    </row>
    <row r="65" spans="1:11" x14ac:dyDescent="0.3">
      <c r="A65" s="11" t="s">
        <v>30</v>
      </c>
      <c r="B65" s="11">
        <v>143.9</v>
      </c>
      <c r="C65" s="11">
        <v>3.01</v>
      </c>
      <c r="D65" s="11">
        <v>0</v>
      </c>
      <c r="E65" s="11">
        <v>3.7</v>
      </c>
      <c r="F65" s="11">
        <v>0</v>
      </c>
      <c r="G65" s="11">
        <v>0</v>
      </c>
      <c r="H65" s="11">
        <v>-2.17</v>
      </c>
      <c r="I65" s="11">
        <v>0</v>
      </c>
      <c r="J65" s="11">
        <v>0</v>
      </c>
      <c r="K65" s="11">
        <v>-8.5</v>
      </c>
    </row>
    <row r="66" spans="1:11" x14ac:dyDescent="0.3">
      <c r="A66" s="11" t="s">
        <v>89</v>
      </c>
      <c r="B66" s="11">
        <v>61.55</v>
      </c>
      <c r="C66" s="11">
        <v>2.93</v>
      </c>
      <c r="D66" s="11">
        <v>0</v>
      </c>
      <c r="E66" s="11">
        <v>0</v>
      </c>
      <c r="F66" s="11">
        <v>0</v>
      </c>
      <c r="G66" s="11">
        <v>0</v>
      </c>
      <c r="H66" s="11">
        <v>0</v>
      </c>
      <c r="I66" s="11">
        <v>0</v>
      </c>
      <c r="J66" s="11">
        <v>0</v>
      </c>
      <c r="K66" s="11">
        <v>-13.69</v>
      </c>
    </row>
    <row r="67" spans="1:11" x14ac:dyDescent="0.3">
      <c r="A67" s="11" t="s">
        <v>96</v>
      </c>
      <c r="B67" s="11">
        <v>808.9</v>
      </c>
      <c r="C67" s="11">
        <v>2.62</v>
      </c>
      <c r="D67" s="11">
        <v>0</v>
      </c>
      <c r="E67" s="11">
        <v>0</v>
      </c>
      <c r="F67" s="11">
        <v>1.9</v>
      </c>
      <c r="G67" s="11">
        <v>0</v>
      </c>
      <c r="H67" s="11">
        <v>0</v>
      </c>
      <c r="I67" s="11">
        <v>0</v>
      </c>
      <c r="J67" s="11">
        <v>0</v>
      </c>
      <c r="K67" s="11">
        <v>-2.59</v>
      </c>
    </row>
    <row r="68" spans="1:11" x14ac:dyDescent="0.3">
      <c r="A68" s="11" t="s">
        <v>26</v>
      </c>
      <c r="B68" s="11">
        <v>409.9</v>
      </c>
      <c r="C68" s="11">
        <v>2.56</v>
      </c>
      <c r="D68" s="11">
        <v>0</v>
      </c>
      <c r="E68" s="11">
        <v>6.28</v>
      </c>
      <c r="F68" s="11">
        <v>4.43</v>
      </c>
      <c r="G68" s="11">
        <v>0</v>
      </c>
      <c r="H68" s="11">
        <v>-5.28</v>
      </c>
      <c r="I68" s="11">
        <v>0</v>
      </c>
      <c r="J68" s="11">
        <v>0</v>
      </c>
      <c r="K68" s="11">
        <v>0</v>
      </c>
    </row>
    <row r="69" spans="1:11" x14ac:dyDescent="0.3">
      <c r="A69" s="11" t="s">
        <v>49</v>
      </c>
      <c r="B69" s="11">
        <v>170.1</v>
      </c>
      <c r="C69" s="11">
        <v>2.29</v>
      </c>
      <c r="D69" s="11">
        <v>0</v>
      </c>
      <c r="E69" s="11">
        <v>2.81</v>
      </c>
      <c r="F69" s="11">
        <v>4.55</v>
      </c>
      <c r="G69" s="11">
        <v>0</v>
      </c>
      <c r="H69" s="11">
        <v>0</v>
      </c>
      <c r="I69" s="11">
        <v>0</v>
      </c>
      <c r="J69" s="11">
        <v>0</v>
      </c>
      <c r="K69" s="11">
        <v>-8.33</v>
      </c>
    </row>
    <row r="70" spans="1:11" x14ac:dyDescent="0.3">
      <c r="A70" s="11" t="s">
        <v>22</v>
      </c>
      <c r="B70" s="11">
        <v>242</v>
      </c>
      <c r="C70" s="11">
        <v>2.2000000000000002</v>
      </c>
      <c r="D70" s="11">
        <v>1</v>
      </c>
      <c r="E70" s="11">
        <v>0</v>
      </c>
      <c r="F70" s="11">
        <v>0</v>
      </c>
      <c r="G70" s="11">
        <v>0</v>
      </c>
      <c r="H70" s="11">
        <v>0</v>
      </c>
      <c r="I70" s="11">
        <v>-2.16</v>
      </c>
      <c r="J70" s="11">
        <v>-4.17</v>
      </c>
      <c r="K70" s="11">
        <v>-5.61</v>
      </c>
    </row>
    <row r="71" spans="1:11" x14ac:dyDescent="0.3">
      <c r="A71" s="11" t="s">
        <v>157</v>
      </c>
      <c r="B71" s="11">
        <v>56.4</v>
      </c>
      <c r="C71" s="11">
        <v>2.08</v>
      </c>
      <c r="D71" s="11">
        <v>0</v>
      </c>
      <c r="E71" s="11">
        <v>0</v>
      </c>
      <c r="F71" s="11">
        <v>3.02</v>
      </c>
      <c r="G71" s="11">
        <v>0</v>
      </c>
      <c r="H71" s="11">
        <v>-3.84</v>
      </c>
      <c r="I71" s="11">
        <v>-9.0399999999999991</v>
      </c>
      <c r="J71" s="11">
        <v>0</v>
      </c>
      <c r="K71" s="11">
        <v>-2.84</v>
      </c>
    </row>
    <row r="72" spans="1:11" x14ac:dyDescent="0.3">
      <c r="A72" s="11" t="s">
        <v>156</v>
      </c>
      <c r="B72" s="11">
        <v>130.19999999999999</v>
      </c>
      <c r="C72" s="11">
        <v>2</v>
      </c>
      <c r="D72" s="11">
        <v>0</v>
      </c>
      <c r="E72" s="11">
        <v>0</v>
      </c>
      <c r="F72" s="11">
        <v>0</v>
      </c>
      <c r="G72" s="11">
        <v>0</v>
      </c>
      <c r="H72" s="11">
        <v>-2.33</v>
      </c>
      <c r="I72" s="11">
        <v>0</v>
      </c>
      <c r="J72" s="11">
        <v>-4.5199999999999996</v>
      </c>
      <c r="K72" s="11">
        <v>-11.77</v>
      </c>
    </row>
    <row r="73" spans="1:11" x14ac:dyDescent="0.3">
      <c r="A73" s="11" t="s">
        <v>155</v>
      </c>
      <c r="B73" s="11">
        <v>87.75</v>
      </c>
      <c r="C73" s="11">
        <v>1.92</v>
      </c>
      <c r="D73" s="11">
        <v>0</v>
      </c>
      <c r="E73" s="11">
        <v>0</v>
      </c>
      <c r="F73" s="11">
        <v>4.0199999999999996</v>
      </c>
      <c r="G73" s="11">
        <v>0</v>
      </c>
      <c r="H73" s="11">
        <v>-3.3</v>
      </c>
      <c r="I73" s="11">
        <v>0</v>
      </c>
      <c r="J73" s="11">
        <v>0</v>
      </c>
      <c r="K73" s="11">
        <v>0</v>
      </c>
    </row>
    <row r="74" spans="1:11" x14ac:dyDescent="0.3">
      <c r="A74" s="11" t="s">
        <v>146</v>
      </c>
      <c r="B74" s="11">
        <v>133.25</v>
      </c>
      <c r="C74" s="11">
        <v>1.91</v>
      </c>
      <c r="D74" s="11">
        <v>0</v>
      </c>
      <c r="E74" s="11">
        <v>0</v>
      </c>
      <c r="F74" s="11">
        <v>0</v>
      </c>
      <c r="G74" s="11">
        <v>0</v>
      </c>
      <c r="H74" s="11">
        <v>-3.9</v>
      </c>
      <c r="I74" s="11">
        <v>-3.86</v>
      </c>
      <c r="J74" s="11">
        <v>-1.48</v>
      </c>
      <c r="K74" s="11">
        <v>-5.54</v>
      </c>
    </row>
    <row r="75" spans="1:11" x14ac:dyDescent="0.3">
      <c r="A75" s="11" t="s">
        <v>24</v>
      </c>
      <c r="B75" s="11">
        <v>275.89999999999998</v>
      </c>
      <c r="C75" s="11">
        <v>1.71</v>
      </c>
      <c r="D75" s="11">
        <v>0</v>
      </c>
      <c r="E75" s="11">
        <v>0</v>
      </c>
      <c r="F75" s="11">
        <v>0</v>
      </c>
      <c r="G75" s="11">
        <v>0</v>
      </c>
      <c r="H75" s="11">
        <v>-1.34</v>
      </c>
      <c r="I75" s="11">
        <v>-3.5</v>
      </c>
      <c r="J75" s="11">
        <v>-6.15</v>
      </c>
      <c r="K75" s="11">
        <v>-3.5</v>
      </c>
    </row>
    <row r="76" spans="1:11" x14ac:dyDescent="0.3">
      <c r="A76" s="11" t="s">
        <v>56</v>
      </c>
      <c r="B76" s="11">
        <v>36.5</v>
      </c>
      <c r="C76" s="11">
        <v>1.67</v>
      </c>
      <c r="D76" s="11">
        <v>0</v>
      </c>
      <c r="E76" s="11">
        <v>0</v>
      </c>
      <c r="F76" s="11">
        <v>0</v>
      </c>
      <c r="G76" s="11">
        <v>0</v>
      </c>
      <c r="H76" s="11">
        <v>0</v>
      </c>
      <c r="I76" s="11">
        <v>-2.2799999999999998</v>
      </c>
      <c r="J76" s="11">
        <v>-2.2799999999999998</v>
      </c>
      <c r="K76" s="11">
        <v>-5.45</v>
      </c>
    </row>
    <row r="77" spans="1:11" x14ac:dyDescent="0.3">
      <c r="A77" s="11" t="s">
        <v>50</v>
      </c>
      <c r="B77" s="11">
        <v>452.7</v>
      </c>
      <c r="C77" s="11">
        <v>1.6</v>
      </c>
      <c r="D77" s="11">
        <v>0</v>
      </c>
      <c r="E77" s="11">
        <v>5.39</v>
      </c>
      <c r="F77" s="11">
        <v>14.41</v>
      </c>
      <c r="G77" s="11">
        <v>0</v>
      </c>
      <c r="H77" s="11">
        <v>0</v>
      </c>
      <c r="I77" s="11">
        <v>0</v>
      </c>
      <c r="J77" s="11">
        <v>0</v>
      </c>
      <c r="K77" s="11">
        <v>-5.19</v>
      </c>
    </row>
    <row r="78" spans="1:11" x14ac:dyDescent="0.3">
      <c r="A78" s="11" t="s">
        <v>129</v>
      </c>
      <c r="B78" s="11">
        <v>1176.5</v>
      </c>
      <c r="C78" s="11">
        <v>1.58</v>
      </c>
      <c r="D78" s="11">
        <v>0</v>
      </c>
      <c r="E78" s="11">
        <v>2.2999999999999998</v>
      </c>
      <c r="F78" s="11">
        <v>0</v>
      </c>
      <c r="G78" s="11">
        <v>0</v>
      </c>
      <c r="H78" s="11">
        <v>0</v>
      </c>
      <c r="I78" s="11">
        <v>0</v>
      </c>
      <c r="J78" s="11">
        <v>0</v>
      </c>
      <c r="K78" s="11">
        <v>-9.56</v>
      </c>
    </row>
    <row r="79" spans="1:11" x14ac:dyDescent="0.3">
      <c r="A79" s="11" t="s">
        <v>48</v>
      </c>
      <c r="B79" s="11">
        <v>758</v>
      </c>
      <c r="C79" s="11">
        <v>1.57</v>
      </c>
      <c r="D79" s="11">
        <v>0</v>
      </c>
      <c r="E79" s="11">
        <v>0</v>
      </c>
      <c r="F79" s="11">
        <v>0</v>
      </c>
      <c r="G79" s="11">
        <v>0</v>
      </c>
      <c r="H79" s="11">
        <v>0</v>
      </c>
      <c r="I79" s="11">
        <v>0</v>
      </c>
      <c r="J79" s="11">
        <v>0</v>
      </c>
      <c r="K79" s="11">
        <v>-1.39</v>
      </c>
    </row>
    <row r="80" spans="1:11" x14ac:dyDescent="0.3">
      <c r="A80" s="11" t="s">
        <v>131</v>
      </c>
      <c r="B80" s="11">
        <v>457.85</v>
      </c>
      <c r="C80" s="11">
        <v>1.51</v>
      </c>
      <c r="D80" s="11">
        <v>0</v>
      </c>
      <c r="E80" s="11">
        <v>0</v>
      </c>
      <c r="F80" s="11">
        <v>0</v>
      </c>
      <c r="G80" s="11">
        <v>0</v>
      </c>
      <c r="H80" s="11">
        <v>-1.81</v>
      </c>
      <c r="I80" s="11">
        <v>-1.39</v>
      </c>
      <c r="J80" s="11">
        <v>-1.03</v>
      </c>
      <c r="K80" s="11">
        <v>0</v>
      </c>
    </row>
    <row r="81" spans="1:11" x14ac:dyDescent="0.3">
      <c r="A81" s="11" t="s">
        <v>105</v>
      </c>
      <c r="B81" s="11">
        <v>156.9</v>
      </c>
      <c r="C81" s="11">
        <v>1.49</v>
      </c>
      <c r="D81" s="11">
        <v>0</v>
      </c>
      <c r="E81" s="11">
        <v>0</v>
      </c>
      <c r="F81" s="11">
        <v>0</v>
      </c>
      <c r="G81" s="11">
        <v>0</v>
      </c>
      <c r="H81" s="11">
        <v>0</v>
      </c>
      <c r="I81" s="11">
        <v>-3.12</v>
      </c>
      <c r="J81" s="11">
        <v>-3.77</v>
      </c>
      <c r="K81" s="11">
        <v>-8.36</v>
      </c>
    </row>
    <row r="82" spans="1:11" x14ac:dyDescent="0.3">
      <c r="A82" s="11" t="s">
        <v>122</v>
      </c>
      <c r="B82" s="11">
        <v>154.5</v>
      </c>
      <c r="C82" s="11">
        <v>1.48</v>
      </c>
      <c r="D82" s="11">
        <v>0</v>
      </c>
      <c r="E82" s="11">
        <v>0</v>
      </c>
      <c r="F82" s="11">
        <v>0</v>
      </c>
      <c r="G82" s="11">
        <v>0</v>
      </c>
      <c r="H82" s="11">
        <v>0</v>
      </c>
      <c r="I82" s="11">
        <v>0</v>
      </c>
      <c r="J82" s="11">
        <v>-3.22</v>
      </c>
      <c r="K82" s="11">
        <v>-9.77</v>
      </c>
    </row>
    <row r="83" spans="1:11" x14ac:dyDescent="0.3">
      <c r="A83" s="11" t="s">
        <v>43</v>
      </c>
      <c r="B83" s="11">
        <v>708.25</v>
      </c>
      <c r="C83" s="11">
        <v>1.42</v>
      </c>
      <c r="D83" s="11">
        <v>0</v>
      </c>
      <c r="E83" s="11">
        <v>0</v>
      </c>
      <c r="F83" s="11">
        <v>0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</row>
    <row r="84" spans="1:11" x14ac:dyDescent="0.3">
      <c r="A84" s="11" t="s">
        <v>53</v>
      </c>
      <c r="B84" s="11">
        <v>367.05</v>
      </c>
      <c r="C84" s="11">
        <v>1.41</v>
      </c>
      <c r="D84" s="11">
        <v>0</v>
      </c>
      <c r="E84" s="11">
        <v>0</v>
      </c>
      <c r="F84" s="11">
        <v>0</v>
      </c>
      <c r="G84" s="11">
        <v>0</v>
      </c>
      <c r="H84" s="11">
        <v>-1.28</v>
      </c>
      <c r="I84" s="11">
        <v>-1.1399999999999999</v>
      </c>
      <c r="J84" s="11">
        <v>0</v>
      </c>
      <c r="K84" s="11">
        <v>-5.92</v>
      </c>
    </row>
    <row r="85" spans="1:11" x14ac:dyDescent="0.3">
      <c r="A85" s="11" t="s">
        <v>38</v>
      </c>
      <c r="B85" s="11">
        <v>63.75</v>
      </c>
      <c r="C85" s="11">
        <v>1.35</v>
      </c>
      <c r="D85" s="11">
        <v>0</v>
      </c>
      <c r="E85" s="11">
        <v>0</v>
      </c>
      <c r="F85" s="11">
        <v>5.72</v>
      </c>
      <c r="G85" s="11">
        <v>0</v>
      </c>
      <c r="H85" s="11">
        <v>-4.78</v>
      </c>
      <c r="I85" s="11">
        <v>0</v>
      </c>
      <c r="J85" s="11">
        <v>0</v>
      </c>
      <c r="K85" s="11">
        <v>-6.52</v>
      </c>
    </row>
    <row r="86" spans="1:11" x14ac:dyDescent="0.3">
      <c r="A86" s="11" t="s">
        <v>60</v>
      </c>
      <c r="B86" s="11">
        <v>1465.2</v>
      </c>
      <c r="C86" s="11">
        <v>1.3</v>
      </c>
      <c r="D86" s="11">
        <v>0</v>
      </c>
      <c r="E86" s="11">
        <v>0</v>
      </c>
      <c r="F86" s="11">
        <v>0</v>
      </c>
      <c r="G86" s="11">
        <v>0</v>
      </c>
      <c r="H86" s="11">
        <v>-2.4900000000000002</v>
      </c>
      <c r="I86" s="11">
        <v>-2.08</v>
      </c>
      <c r="J86" s="11">
        <v>-2.48</v>
      </c>
      <c r="K86" s="11">
        <v>-7.52</v>
      </c>
    </row>
    <row r="87" spans="1:11" x14ac:dyDescent="0.3">
      <c r="A87" s="11" t="s">
        <v>39</v>
      </c>
      <c r="B87" s="11">
        <v>2077</v>
      </c>
      <c r="C87" s="11">
        <v>1.27</v>
      </c>
      <c r="D87" s="11">
        <v>0</v>
      </c>
      <c r="E87" s="11">
        <v>0</v>
      </c>
      <c r="F87" s="11">
        <v>0</v>
      </c>
      <c r="G87" s="11">
        <v>0</v>
      </c>
      <c r="H87" s="11">
        <v>0</v>
      </c>
      <c r="I87" s="11">
        <v>-1.87</v>
      </c>
      <c r="J87" s="11">
        <v>-5.38</v>
      </c>
      <c r="K87" s="11">
        <v>-5.26</v>
      </c>
    </row>
    <row r="88" spans="1:11" x14ac:dyDescent="0.3">
      <c r="A88" s="11" t="s">
        <v>19</v>
      </c>
      <c r="B88" s="11">
        <v>22125</v>
      </c>
      <c r="C88" s="11">
        <v>1.1100000000000001</v>
      </c>
      <c r="D88" s="11">
        <v>0</v>
      </c>
      <c r="E88" s="11">
        <v>0</v>
      </c>
      <c r="F88" s="11">
        <v>0</v>
      </c>
      <c r="G88" s="11">
        <v>0</v>
      </c>
      <c r="H88" s="11">
        <v>0</v>
      </c>
      <c r="I88" s="11">
        <v>0</v>
      </c>
      <c r="J88" s="11">
        <v>-6.46</v>
      </c>
      <c r="K88" s="11">
        <v>-10.34</v>
      </c>
    </row>
    <row r="89" spans="1:11" x14ac:dyDescent="0.3">
      <c r="A89" s="11" t="s">
        <v>126</v>
      </c>
      <c r="B89" s="11">
        <v>500</v>
      </c>
      <c r="C89" s="11">
        <v>1.1100000000000001</v>
      </c>
      <c r="D89" s="11">
        <v>0</v>
      </c>
      <c r="E89" s="11">
        <v>0</v>
      </c>
      <c r="F89" s="11">
        <v>0</v>
      </c>
      <c r="G89" s="11">
        <v>0</v>
      </c>
      <c r="H89" s="11">
        <v>-1.72</v>
      </c>
      <c r="I89" s="11">
        <v>-2.5099999999999998</v>
      </c>
      <c r="J89" s="11">
        <v>-2.61</v>
      </c>
      <c r="K89" s="11">
        <v>-4.0199999999999996</v>
      </c>
    </row>
    <row r="90" spans="1:11" x14ac:dyDescent="0.3">
      <c r="A90" s="11" t="s">
        <v>77</v>
      </c>
      <c r="B90" s="11">
        <v>352</v>
      </c>
      <c r="C90" s="11">
        <v>1.06</v>
      </c>
      <c r="D90" s="11">
        <v>0</v>
      </c>
      <c r="E90" s="11">
        <v>0</v>
      </c>
      <c r="F90" s="11">
        <v>0</v>
      </c>
      <c r="G90" s="11">
        <v>0</v>
      </c>
      <c r="H90" s="11">
        <v>-2.5299999999999998</v>
      </c>
      <c r="I90" s="11">
        <v>-1.36</v>
      </c>
      <c r="J90" s="11">
        <v>-1.28</v>
      </c>
      <c r="K90" s="11">
        <v>-3.72</v>
      </c>
    </row>
    <row r="91" spans="1:11" x14ac:dyDescent="0.3">
      <c r="A91" s="11" t="s">
        <v>94</v>
      </c>
      <c r="B91" s="11">
        <v>469</v>
      </c>
      <c r="C91" s="11">
        <v>1.02</v>
      </c>
      <c r="D91" s="11">
        <v>0</v>
      </c>
      <c r="E91" s="11">
        <v>0</v>
      </c>
      <c r="F91" s="11">
        <v>4.12</v>
      </c>
      <c r="G91" s="11">
        <v>0</v>
      </c>
      <c r="H91" s="11">
        <v>0</v>
      </c>
      <c r="I91" s="11">
        <v>-3.19</v>
      </c>
      <c r="J91" s="11">
        <v>0</v>
      </c>
      <c r="K91" s="11">
        <v>0</v>
      </c>
    </row>
    <row r="92" spans="1:11" x14ac:dyDescent="0.3">
      <c r="A92" s="11" t="s">
        <v>71</v>
      </c>
      <c r="B92" s="11">
        <v>537.5</v>
      </c>
      <c r="C92" s="11">
        <v>0.89</v>
      </c>
      <c r="D92" s="11">
        <v>0</v>
      </c>
      <c r="E92" s="11">
        <v>0</v>
      </c>
      <c r="F92" s="11">
        <v>0</v>
      </c>
      <c r="G92" s="11">
        <v>0</v>
      </c>
      <c r="H92" s="11">
        <v>-1.76</v>
      </c>
      <c r="I92" s="11">
        <v>-4.49</v>
      </c>
      <c r="J92" s="11">
        <v>-4.0599999999999996</v>
      </c>
      <c r="K92" s="11">
        <v>-1.64</v>
      </c>
    </row>
    <row r="93" spans="1:11" x14ac:dyDescent="0.3">
      <c r="A93" s="11" t="s">
        <v>130</v>
      </c>
      <c r="B93" s="11">
        <v>739.8</v>
      </c>
      <c r="C93" s="11">
        <v>0.87</v>
      </c>
      <c r="D93" s="11">
        <v>0</v>
      </c>
      <c r="E93" s="11">
        <v>0</v>
      </c>
      <c r="F93" s="11">
        <v>3.35</v>
      </c>
      <c r="G93" s="11">
        <v>0</v>
      </c>
      <c r="H93" s="11">
        <v>-1.43</v>
      </c>
      <c r="I93" s="11">
        <v>0</v>
      </c>
      <c r="J93" s="11">
        <v>0</v>
      </c>
      <c r="K93" s="11">
        <v>0</v>
      </c>
    </row>
    <row r="94" spans="1:11" x14ac:dyDescent="0.3">
      <c r="A94" s="11" t="s">
        <v>159</v>
      </c>
      <c r="B94" s="11">
        <v>792</v>
      </c>
      <c r="C94" s="11">
        <v>0.86</v>
      </c>
      <c r="D94" s="11">
        <v>0</v>
      </c>
      <c r="E94" s="11">
        <v>0</v>
      </c>
      <c r="F94" s="11">
        <v>0</v>
      </c>
      <c r="G94" s="11">
        <v>0</v>
      </c>
      <c r="H94" s="11">
        <v>-2</v>
      </c>
      <c r="I94" s="11">
        <v>0</v>
      </c>
      <c r="J94" s="11">
        <v>0</v>
      </c>
      <c r="K94" s="11">
        <v>-1.88</v>
      </c>
    </row>
    <row r="95" spans="1:11" x14ac:dyDescent="0.3">
      <c r="A95" s="11" t="s">
        <v>88</v>
      </c>
      <c r="B95" s="11">
        <v>468.55</v>
      </c>
      <c r="C95" s="11">
        <v>0.85</v>
      </c>
      <c r="D95" s="11">
        <v>0</v>
      </c>
      <c r="E95" s="11">
        <v>0</v>
      </c>
      <c r="F95" s="11">
        <v>0</v>
      </c>
      <c r="G95" s="11">
        <v>0</v>
      </c>
      <c r="H95" s="11">
        <v>-3.86</v>
      </c>
      <c r="I95" s="11">
        <v>-2.4300000000000002</v>
      </c>
      <c r="J95" s="11">
        <v>-4.62</v>
      </c>
      <c r="K95" s="11">
        <v>-10.33</v>
      </c>
    </row>
    <row r="96" spans="1:11" x14ac:dyDescent="0.3">
      <c r="A96" s="11" t="s">
        <v>74</v>
      </c>
      <c r="B96" s="11">
        <v>136.85</v>
      </c>
      <c r="C96" s="11">
        <v>0.85</v>
      </c>
      <c r="D96" s="11">
        <v>0</v>
      </c>
      <c r="E96" s="11">
        <v>0</v>
      </c>
      <c r="F96" s="11">
        <v>0</v>
      </c>
      <c r="G96" s="11">
        <v>0</v>
      </c>
      <c r="H96" s="11">
        <v>-3.58</v>
      </c>
      <c r="I96" s="11">
        <v>-9.74</v>
      </c>
      <c r="J96" s="11">
        <v>-5.22</v>
      </c>
      <c r="K96" s="11">
        <v>-8.8699999999999992</v>
      </c>
    </row>
    <row r="97" spans="1:11" x14ac:dyDescent="0.3">
      <c r="A97" s="11" t="s">
        <v>61</v>
      </c>
      <c r="B97" s="11">
        <v>55.9</v>
      </c>
      <c r="C97" s="11">
        <v>0.81</v>
      </c>
      <c r="D97" s="11">
        <v>0</v>
      </c>
      <c r="E97" s="11">
        <v>1.82</v>
      </c>
      <c r="F97" s="11">
        <v>2.2000000000000002</v>
      </c>
      <c r="G97" s="11">
        <v>0</v>
      </c>
      <c r="H97" s="11">
        <v>-1.06</v>
      </c>
      <c r="I97" s="11">
        <v>0</v>
      </c>
      <c r="J97" s="11">
        <v>0</v>
      </c>
      <c r="K97" s="11">
        <v>-6.45</v>
      </c>
    </row>
    <row r="98" spans="1:11" x14ac:dyDescent="0.3">
      <c r="A98" s="11" t="s">
        <v>113</v>
      </c>
      <c r="B98" s="11">
        <v>2043.45</v>
      </c>
      <c r="C98" s="11">
        <v>0.74</v>
      </c>
      <c r="D98" s="11">
        <v>0</v>
      </c>
      <c r="E98" s="11">
        <v>0</v>
      </c>
      <c r="F98" s="11">
        <v>0</v>
      </c>
      <c r="G98" s="11">
        <v>0</v>
      </c>
      <c r="H98" s="11">
        <v>-1.88</v>
      </c>
      <c r="I98" s="11">
        <v>0</v>
      </c>
      <c r="J98" s="11">
        <v>-1.02</v>
      </c>
      <c r="K98" s="11">
        <v>-5.0999999999999996</v>
      </c>
    </row>
    <row r="99" spans="1:11" x14ac:dyDescent="0.3">
      <c r="A99" s="11" t="s">
        <v>101</v>
      </c>
      <c r="B99" s="11">
        <v>738</v>
      </c>
      <c r="C99" s="11">
        <v>0.69</v>
      </c>
      <c r="D99" s="11">
        <v>0</v>
      </c>
      <c r="E99" s="11">
        <v>0</v>
      </c>
      <c r="F99" s="11">
        <v>0</v>
      </c>
      <c r="G99" s="11">
        <v>0</v>
      </c>
      <c r="H99" s="11">
        <v>-1.48</v>
      </c>
      <c r="I99" s="11">
        <v>0</v>
      </c>
      <c r="J99" s="11">
        <v>-2.74</v>
      </c>
      <c r="K99" s="11">
        <v>-10.58</v>
      </c>
    </row>
    <row r="100" spans="1:11" x14ac:dyDescent="0.3">
      <c r="A100" s="11" t="s">
        <v>114</v>
      </c>
      <c r="B100" s="11">
        <v>3990.15</v>
      </c>
      <c r="C100" s="11">
        <v>0.65</v>
      </c>
      <c r="D100" s="11">
        <v>0</v>
      </c>
      <c r="E100" s="11">
        <v>0</v>
      </c>
      <c r="F100" s="11">
        <v>0</v>
      </c>
      <c r="G100" s="11">
        <v>0</v>
      </c>
      <c r="H100" s="11">
        <v>-2.71</v>
      </c>
      <c r="I100" s="11">
        <v>-3.22</v>
      </c>
      <c r="J100" s="11">
        <v>-5.22</v>
      </c>
      <c r="K100" s="11">
        <v>-2.97</v>
      </c>
    </row>
    <row r="101" spans="1:11" x14ac:dyDescent="0.3">
      <c r="A101" s="11" t="s">
        <v>90</v>
      </c>
      <c r="B101" s="11">
        <v>671.95</v>
      </c>
      <c r="C101" s="11">
        <v>0.57999999999999996</v>
      </c>
      <c r="D101" s="11">
        <v>0</v>
      </c>
      <c r="E101" s="11">
        <v>0</v>
      </c>
      <c r="F101" s="11">
        <v>0</v>
      </c>
      <c r="G101" s="11">
        <v>0</v>
      </c>
      <c r="H101" s="11">
        <v>-2.61</v>
      </c>
      <c r="I101" s="11">
        <v>-2.31</v>
      </c>
      <c r="J101" s="11">
        <v>-5.66</v>
      </c>
      <c r="K101" s="11">
        <v>-4.9800000000000004</v>
      </c>
    </row>
    <row r="102" spans="1:11" x14ac:dyDescent="0.3">
      <c r="A102" s="11" t="s">
        <v>29</v>
      </c>
      <c r="B102" s="11">
        <v>43.5</v>
      </c>
      <c r="C102" s="11">
        <v>0.57999999999999996</v>
      </c>
      <c r="D102" s="11">
        <v>0</v>
      </c>
      <c r="E102" s="11">
        <v>5.58</v>
      </c>
      <c r="F102" s="11">
        <v>3.32</v>
      </c>
      <c r="G102" s="11">
        <v>0</v>
      </c>
      <c r="H102" s="11">
        <v>-3.97</v>
      </c>
      <c r="I102" s="11">
        <v>0</v>
      </c>
      <c r="J102" s="11">
        <v>0</v>
      </c>
      <c r="K102" s="11">
        <v>-6.94</v>
      </c>
    </row>
    <row r="103" spans="1:11" x14ac:dyDescent="0.3">
      <c r="A103" s="11" t="s">
        <v>143</v>
      </c>
      <c r="B103" s="11">
        <v>281.5</v>
      </c>
      <c r="C103" s="11">
        <v>0.56999999999999995</v>
      </c>
      <c r="D103" s="11">
        <v>0</v>
      </c>
      <c r="E103" s="11">
        <v>0</v>
      </c>
      <c r="F103" s="11">
        <v>0</v>
      </c>
      <c r="G103" s="11">
        <v>0</v>
      </c>
      <c r="H103" s="11">
        <v>-9.5299999999999994</v>
      </c>
      <c r="I103" s="11">
        <v>-18.48</v>
      </c>
      <c r="J103" s="11">
        <v>0</v>
      </c>
      <c r="K103" s="11">
        <v>-4.9800000000000004</v>
      </c>
    </row>
    <row r="104" spans="1:11" x14ac:dyDescent="0.3">
      <c r="A104" s="11" t="s">
        <v>92</v>
      </c>
      <c r="B104" s="11">
        <v>1456</v>
      </c>
      <c r="C104" s="11">
        <v>0.51</v>
      </c>
      <c r="D104" s="11">
        <v>0</v>
      </c>
      <c r="E104" s="11">
        <v>0</v>
      </c>
      <c r="F104" s="11">
        <v>0</v>
      </c>
      <c r="G104" s="11">
        <v>0</v>
      </c>
      <c r="H104" s="11">
        <v>-1.42</v>
      </c>
      <c r="I104" s="11">
        <v>-3.72</v>
      </c>
      <c r="J104" s="11">
        <v>-5.91</v>
      </c>
      <c r="K104" s="11">
        <v>-6.23</v>
      </c>
    </row>
    <row r="105" spans="1:11" x14ac:dyDescent="0.3">
      <c r="A105" s="11" t="s">
        <v>117</v>
      </c>
      <c r="B105" s="11">
        <v>693</v>
      </c>
      <c r="C105" s="11">
        <v>0.51</v>
      </c>
      <c r="D105" s="11">
        <v>0</v>
      </c>
      <c r="E105" s="11">
        <v>0</v>
      </c>
      <c r="F105" s="11">
        <v>0</v>
      </c>
      <c r="G105" s="11">
        <v>0</v>
      </c>
      <c r="H105" s="11">
        <v>-2.4</v>
      </c>
      <c r="I105" s="11">
        <v>-1.44</v>
      </c>
      <c r="J105" s="11">
        <v>-2.84</v>
      </c>
      <c r="K105" s="11">
        <v>0</v>
      </c>
    </row>
    <row r="106" spans="1:11" x14ac:dyDescent="0.3">
      <c r="A106" s="11" t="s">
        <v>81</v>
      </c>
      <c r="B106" s="11">
        <v>2434</v>
      </c>
      <c r="C106" s="11">
        <v>0.48</v>
      </c>
      <c r="D106" s="11">
        <v>0</v>
      </c>
      <c r="E106" s="11">
        <v>0</v>
      </c>
      <c r="F106" s="11">
        <v>0</v>
      </c>
      <c r="G106" s="11">
        <v>0</v>
      </c>
      <c r="H106" s="11">
        <v>-1.1100000000000001</v>
      </c>
      <c r="I106" s="11">
        <v>0</v>
      </c>
      <c r="J106" s="11">
        <v>-5.89</v>
      </c>
      <c r="K106" s="11">
        <v>-7.74</v>
      </c>
    </row>
    <row r="107" spans="1:11" x14ac:dyDescent="0.3">
      <c r="A107" s="11" t="s">
        <v>128</v>
      </c>
      <c r="B107" s="11">
        <v>525.29999999999995</v>
      </c>
      <c r="C107" s="11">
        <v>0.46</v>
      </c>
      <c r="D107" s="11">
        <v>0</v>
      </c>
      <c r="E107" s="11">
        <v>0</v>
      </c>
      <c r="F107" s="11">
        <v>0</v>
      </c>
      <c r="G107" s="11">
        <v>0</v>
      </c>
      <c r="H107" s="11">
        <v>-3.03</v>
      </c>
      <c r="I107" s="11">
        <v>-4.76</v>
      </c>
      <c r="J107" s="11">
        <v>-9.14</v>
      </c>
      <c r="K107" s="11">
        <v>-10.38</v>
      </c>
    </row>
    <row r="108" spans="1:11" x14ac:dyDescent="0.3">
      <c r="A108" s="11" t="s">
        <v>138</v>
      </c>
      <c r="B108" s="11">
        <v>21469.9</v>
      </c>
      <c r="C108" s="11">
        <v>0.45</v>
      </c>
      <c r="D108" s="11">
        <v>0</v>
      </c>
      <c r="E108" s="11">
        <v>0</v>
      </c>
      <c r="F108" s="11">
        <v>0</v>
      </c>
      <c r="G108" s="11">
        <v>0</v>
      </c>
      <c r="H108" s="11">
        <v>-7.29</v>
      </c>
      <c r="I108" s="11">
        <v>-2.4900000000000002</v>
      </c>
      <c r="J108" s="11">
        <v>0</v>
      </c>
      <c r="K108" s="11">
        <v>-1.53</v>
      </c>
    </row>
    <row r="109" spans="1:11" x14ac:dyDescent="0.3">
      <c r="A109" s="11" t="s">
        <v>23</v>
      </c>
      <c r="B109" s="11">
        <v>101.4</v>
      </c>
      <c r="C109" s="11">
        <v>0.4</v>
      </c>
      <c r="D109" s="11">
        <v>0</v>
      </c>
      <c r="E109" s="11">
        <v>0</v>
      </c>
      <c r="F109" s="11">
        <v>0</v>
      </c>
      <c r="G109" s="11">
        <v>0</v>
      </c>
      <c r="H109" s="11">
        <v>-2.92</v>
      </c>
      <c r="I109" s="11">
        <v>-8.2899999999999991</v>
      </c>
      <c r="J109" s="11">
        <v>-7.36</v>
      </c>
      <c r="K109" s="11">
        <v>-15.27</v>
      </c>
    </row>
    <row r="110" spans="1:11" x14ac:dyDescent="0.3">
      <c r="A110" s="11" t="s">
        <v>70</v>
      </c>
      <c r="B110" s="11">
        <v>1483.05</v>
      </c>
      <c r="C110" s="11">
        <v>0.4</v>
      </c>
      <c r="D110" s="11">
        <v>0</v>
      </c>
      <c r="E110" s="11">
        <v>0</v>
      </c>
      <c r="F110" s="11">
        <v>0</v>
      </c>
      <c r="G110" s="11">
        <v>0</v>
      </c>
      <c r="H110" s="11">
        <v>0</v>
      </c>
      <c r="I110" s="11">
        <v>-3.72</v>
      </c>
      <c r="J110" s="11">
        <v>-7.86</v>
      </c>
      <c r="K110" s="11">
        <v>-11.74</v>
      </c>
    </row>
    <row r="111" spans="1:11" x14ac:dyDescent="0.3">
      <c r="A111" s="11" t="s">
        <v>98</v>
      </c>
      <c r="B111" s="11">
        <v>1405</v>
      </c>
      <c r="C111" s="11">
        <v>0.39</v>
      </c>
      <c r="D111" s="11">
        <v>0</v>
      </c>
      <c r="E111" s="11">
        <v>0</v>
      </c>
      <c r="F111" s="11">
        <v>0</v>
      </c>
      <c r="G111" s="11">
        <v>0</v>
      </c>
      <c r="H111" s="11">
        <v>-1.94</v>
      </c>
      <c r="I111" s="11">
        <v>0</v>
      </c>
      <c r="J111" s="11">
        <v>-7.32</v>
      </c>
      <c r="K111" s="11">
        <v>-2.13</v>
      </c>
    </row>
    <row r="112" spans="1:11" x14ac:dyDescent="0.3">
      <c r="A112" s="11" t="s">
        <v>121</v>
      </c>
      <c r="B112" s="11">
        <v>3060</v>
      </c>
      <c r="C112" s="11">
        <v>0.38</v>
      </c>
      <c r="D112" s="11">
        <v>0</v>
      </c>
      <c r="E112" s="11">
        <v>0</v>
      </c>
      <c r="F112" s="11">
        <v>0</v>
      </c>
      <c r="G112" s="11">
        <v>0</v>
      </c>
      <c r="H112" s="11">
        <v>-1.58</v>
      </c>
      <c r="I112" s="11">
        <v>0</v>
      </c>
      <c r="J112" s="11">
        <v>-5.62</v>
      </c>
      <c r="K112" s="11">
        <v>-5.88</v>
      </c>
    </row>
    <row r="113" spans="1:11" x14ac:dyDescent="0.3">
      <c r="A113" s="11" t="s">
        <v>62</v>
      </c>
      <c r="B113" s="11">
        <v>671.85</v>
      </c>
      <c r="C113" s="11">
        <v>0.28000000000000003</v>
      </c>
      <c r="D113" s="11">
        <v>0</v>
      </c>
      <c r="E113" s="11">
        <v>2.92</v>
      </c>
      <c r="F113" s="11">
        <v>0</v>
      </c>
      <c r="G113" s="11">
        <v>0</v>
      </c>
      <c r="H113" s="11">
        <v>0</v>
      </c>
      <c r="I113" s="11">
        <v>0</v>
      </c>
      <c r="J113" s="11">
        <v>0</v>
      </c>
      <c r="K113" s="11">
        <v>-3.01</v>
      </c>
    </row>
    <row r="114" spans="1:11" x14ac:dyDescent="0.3">
      <c r="A114" s="11" t="s">
        <v>34</v>
      </c>
      <c r="B114" s="11">
        <v>123.8</v>
      </c>
      <c r="C114" s="11">
        <v>0.2</v>
      </c>
      <c r="D114" s="11">
        <v>0</v>
      </c>
      <c r="E114" s="11">
        <v>1.07</v>
      </c>
      <c r="F114" s="11">
        <v>1.19</v>
      </c>
      <c r="G114" s="11">
        <v>0</v>
      </c>
      <c r="H114" s="11">
        <v>-2.0299999999999998</v>
      </c>
      <c r="I114" s="11">
        <v>0</v>
      </c>
      <c r="J114" s="11">
        <v>0</v>
      </c>
      <c r="K114" s="11">
        <v>-10.07</v>
      </c>
    </row>
    <row r="115" spans="1:11" x14ac:dyDescent="0.3">
      <c r="A115" s="11" t="s">
        <v>99</v>
      </c>
      <c r="B115" s="11">
        <v>783.65</v>
      </c>
      <c r="C115" s="11">
        <v>0.17</v>
      </c>
      <c r="D115" s="11">
        <v>0</v>
      </c>
      <c r="E115" s="11">
        <v>0</v>
      </c>
      <c r="F115" s="11">
        <v>7.01</v>
      </c>
      <c r="G115" s="11">
        <v>0</v>
      </c>
      <c r="H115" s="11">
        <v>-1.84</v>
      </c>
      <c r="I115" s="11">
        <v>0</v>
      </c>
      <c r="J115" s="11">
        <v>0</v>
      </c>
      <c r="K115" s="11">
        <v>0</v>
      </c>
    </row>
    <row r="116" spans="1:11" x14ac:dyDescent="0.3">
      <c r="A116" s="11" t="s">
        <v>13</v>
      </c>
      <c r="B116" s="11">
        <v>62150</v>
      </c>
      <c r="C116" s="11">
        <v>0.14000000000000001</v>
      </c>
      <c r="D116" s="11">
        <v>0</v>
      </c>
      <c r="E116" s="11">
        <v>0</v>
      </c>
      <c r="F116" s="11">
        <v>0</v>
      </c>
      <c r="G116" s="11">
        <v>0</v>
      </c>
      <c r="H116" s="11">
        <v>-2.96</v>
      </c>
      <c r="I116" s="11">
        <v>0</v>
      </c>
      <c r="J116" s="11">
        <v>-2.4</v>
      </c>
      <c r="K116" s="11">
        <v>-3.64</v>
      </c>
    </row>
    <row r="117" spans="1:11" x14ac:dyDescent="0.3">
      <c r="A117" s="11" t="s">
        <v>66</v>
      </c>
      <c r="B117" s="11">
        <v>114.7</v>
      </c>
      <c r="C117" s="11">
        <v>0.13</v>
      </c>
      <c r="D117" s="11">
        <v>0</v>
      </c>
      <c r="E117" s="11">
        <v>0</v>
      </c>
      <c r="F117" s="11">
        <v>0</v>
      </c>
      <c r="G117" s="11">
        <v>0</v>
      </c>
      <c r="H117" s="11">
        <v>0</v>
      </c>
      <c r="I117" s="11">
        <v>0</v>
      </c>
      <c r="J117" s="11">
        <v>-3.16</v>
      </c>
      <c r="K117" s="11">
        <v>-4.7699999999999996</v>
      </c>
    </row>
    <row r="118" spans="1:11" x14ac:dyDescent="0.3">
      <c r="A118" s="11" t="s">
        <v>139</v>
      </c>
      <c r="B118" s="11">
        <v>570</v>
      </c>
      <c r="C118" s="11">
        <v>0.09</v>
      </c>
      <c r="D118" s="11">
        <v>0</v>
      </c>
      <c r="E118" s="11">
        <v>4.67</v>
      </c>
      <c r="F118" s="11">
        <v>6.48</v>
      </c>
      <c r="G118" s="11">
        <v>0</v>
      </c>
      <c r="H118" s="11">
        <v>-1.66</v>
      </c>
      <c r="I118" s="11">
        <v>0</v>
      </c>
      <c r="J118" s="11">
        <v>0</v>
      </c>
      <c r="K118" s="11">
        <v>-4.04</v>
      </c>
    </row>
    <row r="119" spans="1:11" x14ac:dyDescent="0.3">
      <c r="A119" s="11" t="s">
        <v>32</v>
      </c>
      <c r="B119" s="11">
        <v>1125</v>
      </c>
      <c r="C119" s="11">
        <v>0.04</v>
      </c>
      <c r="D119" s="11">
        <v>0</v>
      </c>
      <c r="E119" s="11">
        <v>0</v>
      </c>
      <c r="F119" s="11">
        <v>0</v>
      </c>
      <c r="G119" s="11">
        <v>0</v>
      </c>
      <c r="H119" s="11">
        <v>0</v>
      </c>
      <c r="I119" s="11">
        <v>0</v>
      </c>
      <c r="J119" s="11">
        <v>-1.94</v>
      </c>
      <c r="K119" s="11">
        <v>-2.63</v>
      </c>
    </row>
    <row r="120" spans="1:11" x14ac:dyDescent="0.3">
      <c r="A120" s="11" t="s">
        <v>118</v>
      </c>
      <c r="B120" s="11">
        <v>1509</v>
      </c>
      <c r="C120" s="11">
        <v>0.03</v>
      </c>
      <c r="D120" s="11">
        <v>0</v>
      </c>
      <c r="E120" s="11">
        <v>2.4300000000000002</v>
      </c>
      <c r="F120" s="11">
        <v>1.49</v>
      </c>
      <c r="G120" s="11">
        <v>0</v>
      </c>
      <c r="H120" s="11">
        <v>0</v>
      </c>
      <c r="I120" s="11">
        <v>0</v>
      </c>
      <c r="J120" s="11">
        <v>0</v>
      </c>
      <c r="K120" s="11">
        <v>-3.55</v>
      </c>
    </row>
    <row r="121" spans="1:11" x14ac:dyDescent="0.3">
      <c r="A121" s="11" t="s">
        <v>213</v>
      </c>
      <c r="B121" s="11">
        <v>0</v>
      </c>
      <c r="C121" s="11">
        <v>0</v>
      </c>
      <c r="D121" s="11">
        <v>0</v>
      </c>
      <c r="E121" s="11">
        <v>0</v>
      </c>
      <c r="F121" s="11">
        <v>0</v>
      </c>
      <c r="G121" s="11">
        <v>0</v>
      </c>
      <c r="H121" s="11">
        <v>0</v>
      </c>
      <c r="I121" s="11">
        <v>0</v>
      </c>
      <c r="J121" s="11">
        <v>-1.39</v>
      </c>
      <c r="K121" s="11">
        <v>-2.67</v>
      </c>
    </row>
    <row r="122" spans="1:11" x14ac:dyDescent="0.3">
      <c r="A122" s="11" t="s">
        <v>174</v>
      </c>
      <c r="B122" s="11">
        <v>0</v>
      </c>
      <c r="C122" s="11">
        <v>0</v>
      </c>
      <c r="D122" s="11">
        <v>0</v>
      </c>
      <c r="E122" s="11">
        <v>0</v>
      </c>
      <c r="F122" s="11">
        <v>1.44</v>
      </c>
      <c r="G122" s="11">
        <v>0</v>
      </c>
      <c r="H122" s="11">
        <v>0</v>
      </c>
      <c r="I122" s="11">
        <v>0</v>
      </c>
      <c r="J122" s="11">
        <v>0</v>
      </c>
      <c r="K122" s="11">
        <v>0</v>
      </c>
    </row>
    <row r="123" spans="1:11" x14ac:dyDescent="0.3">
      <c r="A123" s="11" t="s">
        <v>76</v>
      </c>
      <c r="B123" s="11">
        <v>343.2</v>
      </c>
      <c r="C123" s="11">
        <v>-0.09</v>
      </c>
      <c r="D123" s="11">
        <v>0</v>
      </c>
      <c r="E123" s="11">
        <v>4.46</v>
      </c>
      <c r="F123" s="11">
        <v>4.54</v>
      </c>
      <c r="G123" s="11">
        <v>0</v>
      </c>
      <c r="H123" s="11">
        <v>-3.61</v>
      </c>
      <c r="I123" s="11">
        <v>0</v>
      </c>
      <c r="J123" s="11">
        <v>0</v>
      </c>
      <c r="K123" s="11">
        <v>-4.57</v>
      </c>
    </row>
    <row r="124" spans="1:11" x14ac:dyDescent="0.3">
      <c r="A124" s="11" t="s">
        <v>44</v>
      </c>
      <c r="B124" s="11">
        <v>49.9</v>
      </c>
      <c r="C124" s="11">
        <v>-0.2</v>
      </c>
      <c r="D124" s="11">
        <v>0</v>
      </c>
      <c r="E124" s="11">
        <v>0</v>
      </c>
      <c r="F124" s="11">
        <v>0</v>
      </c>
      <c r="G124" s="11">
        <v>0</v>
      </c>
      <c r="H124" s="11">
        <v>-7.93</v>
      </c>
      <c r="I124" s="11">
        <v>-9.92</v>
      </c>
      <c r="J124" s="11">
        <v>-7.24</v>
      </c>
      <c r="K124" s="11">
        <v>-11.44</v>
      </c>
    </row>
    <row r="125" spans="1:11" x14ac:dyDescent="0.3">
      <c r="A125" s="11" t="s">
        <v>154</v>
      </c>
      <c r="B125" s="11">
        <v>15621.2</v>
      </c>
      <c r="C125" s="11">
        <v>-0.23</v>
      </c>
      <c r="D125" s="11">
        <v>0</v>
      </c>
      <c r="E125" s="11">
        <v>0</v>
      </c>
      <c r="F125" s="11">
        <v>2.99</v>
      </c>
      <c r="G125" s="11">
        <v>0</v>
      </c>
      <c r="H125" s="11">
        <v>-3.45</v>
      </c>
      <c r="I125" s="11">
        <v>0</v>
      </c>
      <c r="J125" s="11">
        <v>0</v>
      </c>
      <c r="K125" s="11">
        <v>0</v>
      </c>
    </row>
    <row r="126" spans="1:11" x14ac:dyDescent="0.3">
      <c r="A126" s="11" t="s">
        <v>58</v>
      </c>
      <c r="B126" s="11">
        <v>4202</v>
      </c>
      <c r="C126" s="11">
        <v>-0.23</v>
      </c>
      <c r="D126" s="11">
        <v>0</v>
      </c>
      <c r="E126" s="11">
        <v>2.94</v>
      </c>
      <c r="F126" s="11">
        <v>4.84</v>
      </c>
      <c r="G126" s="11">
        <v>0</v>
      </c>
      <c r="H126" s="11">
        <v>-2.27</v>
      </c>
      <c r="I126" s="11">
        <v>0</v>
      </c>
      <c r="J126" s="11">
        <v>0</v>
      </c>
      <c r="K126" s="11">
        <v>0</v>
      </c>
    </row>
    <row r="127" spans="1:11" x14ac:dyDescent="0.3">
      <c r="A127" s="11" t="s">
        <v>124</v>
      </c>
      <c r="B127" s="11">
        <v>275.55</v>
      </c>
      <c r="C127" s="11">
        <v>-0.24</v>
      </c>
      <c r="D127" s="11">
        <v>0</v>
      </c>
      <c r="E127" s="11">
        <v>1.1200000000000001</v>
      </c>
      <c r="F127" s="11">
        <v>0</v>
      </c>
      <c r="G127" s="11">
        <v>0</v>
      </c>
      <c r="H127" s="11">
        <v>0</v>
      </c>
      <c r="I127" s="11">
        <v>0</v>
      </c>
      <c r="J127" s="11">
        <v>0</v>
      </c>
      <c r="K127" s="11">
        <v>-3.35</v>
      </c>
    </row>
    <row r="128" spans="1:11" x14ac:dyDescent="0.3">
      <c r="A128" s="11" t="s">
        <v>125</v>
      </c>
      <c r="B128" s="11">
        <v>1674.05</v>
      </c>
      <c r="C128" s="11">
        <v>-0.26</v>
      </c>
      <c r="D128" s="11">
        <v>2.6</v>
      </c>
      <c r="E128" s="11">
        <v>2.3199999999999998</v>
      </c>
      <c r="F128" s="11">
        <v>0</v>
      </c>
      <c r="G128" s="11">
        <v>0</v>
      </c>
      <c r="H128" s="11">
        <v>0</v>
      </c>
      <c r="I128" s="11">
        <v>0</v>
      </c>
      <c r="J128" s="11">
        <v>-2.02</v>
      </c>
      <c r="K128" s="11">
        <v>-3.15</v>
      </c>
    </row>
    <row r="129" spans="1:11" x14ac:dyDescent="0.3">
      <c r="A129" s="11" t="s">
        <v>14</v>
      </c>
      <c r="B129" s="11">
        <v>301.2</v>
      </c>
      <c r="C129" s="11">
        <v>-0.26</v>
      </c>
      <c r="D129" s="11">
        <v>0</v>
      </c>
      <c r="E129" s="11">
        <v>0</v>
      </c>
      <c r="F129" s="11">
        <v>0</v>
      </c>
      <c r="G129" s="11">
        <v>0</v>
      </c>
      <c r="H129" s="11">
        <v>-4.8600000000000003</v>
      </c>
      <c r="I129" s="11">
        <v>-4.8600000000000003</v>
      </c>
      <c r="J129" s="11">
        <v>-2.36</v>
      </c>
      <c r="K129" s="11">
        <v>-4.54</v>
      </c>
    </row>
    <row r="130" spans="1:11" x14ac:dyDescent="0.3">
      <c r="A130" s="11" t="s">
        <v>102</v>
      </c>
      <c r="B130" s="11">
        <v>14310</v>
      </c>
      <c r="C130" s="11">
        <v>-0.3</v>
      </c>
      <c r="D130" s="11">
        <v>0</v>
      </c>
      <c r="E130" s="11">
        <v>0</v>
      </c>
      <c r="F130" s="11">
        <v>0</v>
      </c>
      <c r="G130" s="11">
        <v>0</v>
      </c>
      <c r="H130" s="11">
        <v>-2.41</v>
      </c>
      <c r="I130" s="11">
        <v>0</v>
      </c>
      <c r="J130" s="11">
        <v>0</v>
      </c>
      <c r="K130" s="11">
        <v>-3.42</v>
      </c>
    </row>
    <row r="131" spans="1:11" x14ac:dyDescent="0.3">
      <c r="A131" s="11" t="s">
        <v>69</v>
      </c>
      <c r="B131" s="11">
        <v>1317</v>
      </c>
      <c r="C131" s="11">
        <v>-0.35</v>
      </c>
      <c r="D131" s="11">
        <v>0</v>
      </c>
      <c r="E131" s="11">
        <v>1.58</v>
      </c>
      <c r="F131" s="11">
        <v>0</v>
      </c>
      <c r="G131" s="11">
        <v>0</v>
      </c>
      <c r="H131" s="11">
        <v>0</v>
      </c>
      <c r="I131" s="11">
        <v>0</v>
      </c>
      <c r="J131" s="11">
        <v>-1.79</v>
      </c>
      <c r="K131" s="11">
        <v>-5.65</v>
      </c>
    </row>
    <row r="132" spans="1:11" x14ac:dyDescent="0.3">
      <c r="A132" s="11" t="s">
        <v>83</v>
      </c>
      <c r="B132" s="11">
        <v>243.2</v>
      </c>
      <c r="C132" s="11">
        <v>-0.35</v>
      </c>
      <c r="D132" s="11">
        <v>0</v>
      </c>
      <c r="E132" s="11">
        <v>0</v>
      </c>
      <c r="F132" s="11">
        <v>0</v>
      </c>
      <c r="G132" s="11">
        <v>0</v>
      </c>
      <c r="H132" s="11">
        <v>-1.44</v>
      </c>
      <c r="I132" s="11">
        <v>-1.04</v>
      </c>
      <c r="J132" s="11">
        <v>-4.2300000000000004</v>
      </c>
      <c r="K132" s="11">
        <v>-6.75</v>
      </c>
    </row>
    <row r="133" spans="1:11" x14ac:dyDescent="0.3">
      <c r="A133" s="11" t="s">
        <v>110</v>
      </c>
      <c r="B133" s="11">
        <v>593.4</v>
      </c>
      <c r="C133" s="11">
        <v>-0.38</v>
      </c>
      <c r="D133" s="11">
        <v>0</v>
      </c>
      <c r="E133" s="11">
        <v>0</v>
      </c>
      <c r="F133" s="11">
        <v>0</v>
      </c>
      <c r="G133" s="11">
        <v>0</v>
      </c>
      <c r="H133" s="11">
        <v>-1.67</v>
      </c>
      <c r="I133" s="11">
        <v>-2.62</v>
      </c>
      <c r="J133" s="11">
        <v>-3.86</v>
      </c>
      <c r="K133" s="11">
        <v>-6.57</v>
      </c>
    </row>
    <row r="134" spans="1:11" x14ac:dyDescent="0.3">
      <c r="A134" s="11" t="s">
        <v>119</v>
      </c>
      <c r="B134" s="11">
        <v>188.5</v>
      </c>
      <c r="C134" s="11">
        <v>-0.48</v>
      </c>
      <c r="D134" s="11">
        <v>0</v>
      </c>
      <c r="E134" s="11">
        <v>0</v>
      </c>
      <c r="F134" s="11">
        <v>0</v>
      </c>
      <c r="G134" s="11">
        <v>0</v>
      </c>
      <c r="H134" s="11">
        <v>-3.95</v>
      </c>
      <c r="I134" s="11">
        <v>-4.0199999999999996</v>
      </c>
      <c r="J134" s="11">
        <v>0</v>
      </c>
      <c r="K134" s="11">
        <v>-3.26</v>
      </c>
    </row>
    <row r="135" spans="1:11" x14ac:dyDescent="0.3">
      <c r="A135" s="11" t="s">
        <v>54</v>
      </c>
      <c r="B135" s="11">
        <v>1237.5999999999999</v>
      </c>
      <c r="C135" s="11">
        <v>-0.61</v>
      </c>
      <c r="D135" s="11">
        <v>0</v>
      </c>
      <c r="E135" s="11">
        <v>0</v>
      </c>
      <c r="F135" s="11">
        <v>0</v>
      </c>
      <c r="G135" s="11">
        <v>0</v>
      </c>
      <c r="H135" s="11">
        <v>-3.22</v>
      </c>
      <c r="I135" s="11">
        <v>0</v>
      </c>
      <c r="J135" s="11">
        <v>-1.0900000000000001</v>
      </c>
      <c r="K135" s="11">
        <v>0</v>
      </c>
    </row>
    <row r="136" spans="1:11" x14ac:dyDescent="0.3">
      <c r="A136" s="11" t="s">
        <v>42</v>
      </c>
      <c r="B136" s="11">
        <v>497</v>
      </c>
      <c r="C136" s="11">
        <v>-0.69</v>
      </c>
      <c r="D136" s="11">
        <v>0</v>
      </c>
      <c r="E136" s="11">
        <v>3.25</v>
      </c>
      <c r="F136" s="11">
        <v>3.15</v>
      </c>
      <c r="G136" s="11">
        <v>0</v>
      </c>
      <c r="H136" s="11">
        <v>0</v>
      </c>
      <c r="I136" s="11">
        <v>0</v>
      </c>
      <c r="J136" s="11">
        <v>0</v>
      </c>
      <c r="K136" s="11">
        <v>-1.22</v>
      </c>
    </row>
    <row r="137" spans="1:11" x14ac:dyDescent="0.3">
      <c r="A137" s="11" t="s">
        <v>144</v>
      </c>
      <c r="B137" s="11">
        <v>1082.6500000000001</v>
      </c>
      <c r="C137" s="11">
        <v>-0.71</v>
      </c>
      <c r="D137" s="11">
        <v>0</v>
      </c>
      <c r="E137" s="11">
        <v>0</v>
      </c>
      <c r="F137" s="11">
        <v>0</v>
      </c>
      <c r="G137" s="11">
        <v>0</v>
      </c>
      <c r="H137" s="11">
        <v>-4.8499999999999996</v>
      </c>
      <c r="I137" s="11">
        <v>-3.52</v>
      </c>
      <c r="J137" s="11">
        <v>-4.2300000000000004</v>
      </c>
      <c r="K137" s="11">
        <v>-4.3899999999999997</v>
      </c>
    </row>
    <row r="138" spans="1:11" x14ac:dyDescent="0.3">
      <c r="A138" s="11" t="s">
        <v>47</v>
      </c>
      <c r="B138" s="11">
        <v>556</v>
      </c>
      <c r="C138" s="11">
        <v>-0.76</v>
      </c>
      <c r="D138" s="11">
        <v>0</v>
      </c>
      <c r="E138" s="11">
        <v>0</v>
      </c>
      <c r="F138" s="11">
        <v>0</v>
      </c>
      <c r="G138" s="11">
        <v>0</v>
      </c>
      <c r="H138" s="11">
        <v>0</v>
      </c>
      <c r="I138" s="11">
        <v>-3.69</v>
      </c>
      <c r="J138" s="11">
        <v>-3.4</v>
      </c>
      <c r="K138" s="11">
        <v>-3.95</v>
      </c>
    </row>
    <row r="139" spans="1:11" x14ac:dyDescent="0.3">
      <c r="A139" s="11" t="s">
        <v>35</v>
      </c>
      <c r="B139" s="11">
        <v>451.55</v>
      </c>
      <c r="C139" s="11">
        <v>-0.83</v>
      </c>
      <c r="D139" s="11">
        <v>0</v>
      </c>
      <c r="E139" s="11">
        <v>0</v>
      </c>
      <c r="F139" s="11">
        <v>0</v>
      </c>
      <c r="G139" s="11">
        <v>0</v>
      </c>
      <c r="H139" s="11">
        <v>-7.43</v>
      </c>
      <c r="I139" s="11">
        <v>0</v>
      </c>
      <c r="J139" s="11">
        <v>0</v>
      </c>
      <c r="K139" s="11">
        <v>0</v>
      </c>
    </row>
    <row r="140" spans="1:11" x14ac:dyDescent="0.3">
      <c r="A140" s="11" t="s">
        <v>84</v>
      </c>
      <c r="B140" s="11">
        <v>1721.95</v>
      </c>
      <c r="C140" s="11">
        <v>-0.84</v>
      </c>
      <c r="D140" s="11">
        <v>0</v>
      </c>
      <c r="E140" s="11">
        <v>0</v>
      </c>
      <c r="F140" s="11">
        <v>0</v>
      </c>
      <c r="G140" s="11">
        <v>0</v>
      </c>
      <c r="H140" s="11">
        <v>0</v>
      </c>
      <c r="I140" s="11">
        <v>0</v>
      </c>
      <c r="J140" s="11">
        <v>-2.91</v>
      </c>
      <c r="K140" s="11">
        <v>-3.67</v>
      </c>
    </row>
    <row r="141" spans="1:11" x14ac:dyDescent="0.3">
      <c r="A141" s="11" t="s">
        <v>103</v>
      </c>
      <c r="B141" s="11">
        <v>444.55</v>
      </c>
      <c r="C141" s="11">
        <v>-0.86</v>
      </c>
      <c r="D141" s="11">
        <v>0</v>
      </c>
      <c r="E141" s="11">
        <v>0</v>
      </c>
      <c r="F141" s="11">
        <v>1.91</v>
      </c>
      <c r="G141" s="11">
        <v>0</v>
      </c>
      <c r="H141" s="11">
        <v>-4.97</v>
      </c>
      <c r="I141" s="11">
        <v>-1.17</v>
      </c>
      <c r="J141" s="11">
        <v>0</v>
      </c>
      <c r="K141" s="11">
        <v>-3.62</v>
      </c>
    </row>
    <row r="142" spans="1:11" x14ac:dyDescent="0.3">
      <c r="A142" s="11" t="s">
        <v>25</v>
      </c>
      <c r="B142" s="11">
        <v>7076.1</v>
      </c>
      <c r="C142" s="11">
        <v>-0.88</v>
      </c>
      <c r="D142" s="11">
        <v>0</v>
      </c>
      <c r="E142" s="11">
        <v>0</v>
      </c>
      <c r="F142" s="11">
        <v>0</v>
      </c>
      <c r="G142" s="11">
        <v>0</v>
      </c>
      <c r="H142" s="11">
        <v>-2.5499999999999998</v>
      </c>
      <c r="I142" s="11">
        <v>0</v>
      </c>
      <c r="J142" s="11">
        <v>-2.36</v>
      </c>
      <c r="K142" s="11">
        <v>-4.6900000000000004</v>
      </c>
    </row>
    <row r="143" spans="1:11" x14ac:dyDescent="0.3">
      <c r="A143" s="11" t="s">
        <v>16</v>
      </c>
      <c r="B143" s="11">
        <v>499.7</v>
      </c>
      <c r="C143" s="11">
        <v>-1.01</v>
      </c>
      <c r="D143" s="11">
        <v>0</v>
      </c>
      <c r="E143" s="11">
        <v>0</v>
      </c>
      <c r="F143" s="11">
        <v>0</v>
      </c>
      <c r="G143" s="11">
        <v>0</v>
      </c>
      <c r="H143" s="11">
        <v>0</v>
      </c>
      <c r="I143" s="11">
        <v>0</v>
      </c>
      <c r="J143" s="11">
        <v>-4.71</v>
      </c>
      <c r="K143" s="11">
        <v>-1.96</v>
      </c>
    </row>
    <row r="144" spans="1:11" x14ac:dyDescent="0.3">
      <c r="A144" s="11" t="s">
        <v>136</v>
      </c>
      <c r="B144" s="11">
        <v>127.05</v>
      </c>
      <c r="C144" s="11">
        <v>-1.1299999999999999</v>
      </c>
      <c r="D144" s="11">
        <v>0</v>
      </c>
      <c r="E144" s="11">
        <v>0</v>
      </c>
      <c r="F144" s="11">
        <v>0</v>
      </c>
      <c r="G144" s="11">
        <v>0</v>
      </c>
      <c r="H144" s="11">
        <v>-4.3</v>
      </c>
      <c r="I144" s="11">
        <v>-1.59</v>
      </c>
      <c r="J144" s="11">
        <v>-7.31</v>
      </c>
      <c r="K144" s="11">
        <v>-8.5399999999999991</v>
      </c>
    </row>
    <row r="145" spans="1:11" x14ac:dyDescent="0.3">
      <c r="A145" s="11" t="s">
        <v>91</v>
      </c>
      <c r="B145" s="11">
        <v>202.5</v>
      </c>
      <c r="C145" s="11">
        <v>-1.51</v>
      </c>
      <c r="D145" s="11">
        <v>0</v>
      </c>
      <c r="E145" s="11">
        <v>3.13</v>
      </c>
      <c r="F145" s="11">
        <v>0</v>
      </c>
      <c r="G145" s="11">
        <v>0</v>
      </c>
      <c r="H145" s="11">
        <v>-1.51</v>
      </c>
      <c r="I145" s="11">
        <v>0</v>
      </c>
      <c r="J145" s="11">
        <v>0</v>
      </c>
      <c r="K145" s="11">
        <v>-5.7</v>
      </c>
    </row>
    <row r="146" spans="1:11" x14ac:dyDescent="0.3">
      <c r="A146" s="11" t="s">
        <v>141</v>
      </c>
      <c r="B146" s="11">
        <v>611.79999999999995</v>
      </c>
      <c r="C146" s="11">
        <v>-1.8</v>
      </c>
      <c r="D146" s="11">
        <v>0</v>
      </c>
      <c r="E146" s="11">
        <v>0</v>
      </c>
      <c r="F146" s="11">
        <v>0</v>
      </c>
      <c r="G146" s="11">
        <v>0</v>
      </c>
      <c r="H146" s="11">
        <v>-5.15</v>
      </c>
      <c r="I146" s="11">
        <v>-6.29</v>
      </c>
      <c r="J146" s="11">
        <v>-6.24</v>
      </c>
      <c r="K146" s="11">
        <v>-5.76</v>
      </c>
    </row>
    <row r="147" spans="1:11" x14ac:dyDescent="0.3">
      <c r="A147" s="11" t="s">
        <v>95</v>
      </c>
      <c r="B147" s="11">
        <v>269.39999999999998</v>
      </c>
      <c r="C147" s="11">
        <v>-1.82</v>
      </c>
      <c r="D147" s="11">
        <v>0</v>
      </c>
      <c r="E147" s="11">
        <v>0</v>
      </c>
      <c r="F147" s="11">
        <v>0</v>
      </c>
      <c r="G147" s="11">
        <v>0</v>
      </c>
      <c r="H147" s="11">
        <v>-7.19</v>
      </c>
      <c r="I147" s="11">
        <v>-5.93</v>
      </c>
      <c r="J147" s="11">
        <v>-6.5</v>
      </c>
      <c r="K147" s="11">
        <v>-15.45</v>
      </c>
    </row>
    <row r="148" spans="1:11" x14ac:dyDescent="0.3">
      <c r="A148" s="11" t="s">
        <v>127</v>
      </c>
      <c r="B148" s="11">
        <v>188.05</v>
      </c>
      <c r="C148" s="11">
        <v>-1.9</v>
      </c>
      <c r="D148" s="11">
        <v>0</v>
      </c>
      <c r="E148" s="11">
        <v>0</v>
      </c>
      <c r="F148" s="11">
        <v>0</v>
      </c>
      <c r="G148" s="11">
        <v>0</v>
      </c>
      <c r="H148" s="11">
        <v>-3.24</v>
      </c>
      <c r="I148" s="11">
        <v>0</v>
      </c>
      <c r="J148" s="11">
        <v>-1.47</v>
      </c>
      <c r="K148" s="11">
        <v>0</v>
      </c>
    </row>
    <row r="149" spans="1:11" x14ac:dyDescent="0.3">
      <c r="A149" s="11" t="s">
        <v>36</v>
      </c>
      <c r="B149" s="11">
        <v>1283.5</v>
      </c>
      <c r="C149" s="11">
        <v>-2.2599999999999998</v>
      </c>
      <c r="D149" s="11">
        <v>0</v>
      </c>
      <c r="E149" s="11">
        <v>0</v>
      </c>
      <c r="F149" s="11">
        <v>0</v>
      </c>
      <c r="G149" s="11">
        <v>0</v>
      </c>
      <c r="H149" s="11">
        <v>-4.8</v>
      </c>
      <c r="I149" s="11">
        <v>-7.73</v>
      </c>
      <c r="J149" s="11">
        <v>-6.91</v>
      </c>
      <c r="K149" s="11">
        <v>-11.51</v>
      </c>
    </row>
    <row r="150" spans="1:11" x14ac:dyDescent="0.3">
      <c r="A150" s="11" t="s">
        <v>160</v>
      </c>
      <c r="B150" s="11">
        <v>1687</v>
      </c>
      <c r="C150" s="11">
        <v>-2.2599999999999998</v>
      </c>
      <c r="D150" s="11">
        <v>0</v>
      </c>
      <c r="E150" s="11">
        <v>0</v>
      </c>
      <c r="F150" s="11">
        <v>0</v>
      </c>
      <c r="G150" s="11">
        <v>0</v>
      </c>
      <c r="H150" s="11">
        <v>-6.3</v>
      </c>
      <c r="I150" s="11">
        <v>-4.12</v>
      </c>
      <c r="J150" s="11">
        <v>-3.77</v>
      </c>
      <c r="K150" s="11">
        <v>-3</v>
      </c>
    </row>
    <row r="151" spans="1:11" x14ac:dyDescent="0.3">
      <c r="A151" s="11" t="s">
        <v>116</v>
      </c>
      <c r="B151" s="11">
        <v>695.8</v>
      </c>
      <c r="C151" s="11">
        <v>-2.74</v>
      </c>
      <c r="D151" s="11">
        <v>0</v>
      </c>
      <c r="E151" s="11">
        <v>0</v>
      </c>
      <c r="F151" s="11">
        <v>0</v>
      </c>
      <c r="G151" s="11">
        <v>0</v>
      </c>
      <c r="H151" s="11">
        <v>-3.68</v>
      </c>
      <c r="I151" s="11">
        <v>-4.21</v>
      </c>
      <c r="J151" s="11">
        <v>-2.76</v>
      </c>
      <c r="K151" s="11">
        <v>-3.51</v>
      </c>
    </row>
  </sheetData>
  <conditionalFormatting sqref="F1:G1048576">
    <cfRule type="colorScale" priority="8">
      <colorScale>
        <cfvo type="min"/>
        <cfvo type="max"/>
        <color rgb="FFFCFCFF"/>
        <color rgb="FF63BE7B"/>
      </colorScale>
    </cfRule>
  </conditionalFormatting>
  <conditionalFormatting sqref="J1:K1048576">
    <cfRule type="colorScale" priority="6">
      <colorScale>
        <cfvo type="min"/>
        <cfvo type="max"/>
        <color rgb="FFF8696B"/>
        <color rgb="FFFCFCFF"/>
      </colorScale>
    </cfRule>
  </conditionalFormatting>
  <conditionalFormatting sqref="M1:M1048576 A1:A1048576">
    <cfRule type="duplicateValues" dxfId="25" priority="4"/>
  </conditionalFormatting>
  <conditionalFormatting sqref="N4:N5">
    <cfRule type="duplicateValues" dxfId="24" priority="2"/>
  </conditionalFormatting>
  <conditionalFormatting sqref="N6:N7">
    <cfRule type="duplicateValues" dxfId="23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8FB8A-B5C7-49CE-8B0E-F98DD628E98F}">
  <sheetPr codeName="Sheet3"/>
  <dimension ref="A1:P19"/>
  <sheetViews>
    <sheetView showGridLines="0" topLeftCell="E1" workbookViewId="0">
      <selection activeCell="K13" sqref="K13"/>
    </sheetView>
  </sheetViews>
  <sheetFormatPr defaultRowHeight="14.4" x14ac:dyDescent="0.3"/>
  <cols>
    <col min="1" max="1" width="14.44140625" style="4" customWidth="1"/>
    <col min="3" max="3" width="14.109375" style="2" bestFit="1" customWidth="1"/>
    <col min="4" max="4" width="33" style="2" customWidth="1"/>
    <col min="5" max="5" width="9" style="2" bestFit="1" customWidth="1"/>
    <col min="6" max="6" width="15.88671875" style="2" customWidth="1"/>
    <col min="7" max="7" width="30.33203125" style="2" customWidth="1"/>
    <col min="10" max="10" width="13.5546875" customWidth="1"/>
    <col min="11" max="11" width="10.6640625" bestFit="1" customWidth="1"/>
    <col min="12" max="12" width="10.44140625" bestFit="1" customWidth="1"/>
    <col min="13" max="13" width="13.88671875" style="35" bestFit="1" customWidth="1"/>
    <col min="14" max="14" width="12.33203125" bestFit="1" customWidth="1"/>
    <col min="15" max="15" width="12.109375" customWidth="1"/>
    <col min="16" max="16" width="11" bestFit="1" customWidth="1"/>
  </cols>
  <sheetData>
    <row r="1" spans="1:16" x14ac:dyDescent="0.3">
      <c r="A1" s="5" t="s">
        <v>163</v>
      </c>
      <c r="C1" s="5" t="s">
        <v>188</v>
      </c>
      <c r="D1" s="6" t="s">
        <v>189</v>
      </c>
      <c r="F1" s="5" t="s">
        <v>190</v>
      </c>
      <c r="G1" s="6" t="s">
        <v>191</v>
      </c>
      <c r="I1" s="31" t="s">
        <v>243</v>
      </c>
      <c r="J1" s="31" t="s">
        <v>165</v>
      </c>
      <c r="K1" s="31" t="s">
        <v>250</v>
      </c>
      <c r="M1" s="33" t="s">
        <v>280</v>
      </c>
      <c r="N1" s="31" t="s">
        <v>281</v>
      </c>
      <c r="O1" s="31" t="s">
        <v>284</v>
      </c>
      <c r="P1" s="31" t="s">
        <v>190</v>
      </c>
    </row>
    <row r="2" spans="1:16" x14ac:dyDescent="0.3">
      <c r="A2" s="4" t="s">
        <v>164</v>
      </c>
      <c r="C2" s="7" t="s">
        <v>192</v>
      </c>
      <c r="D2" s="8"/>
      <c r="F2" s="7" t="s">
        <v>193</v>
      </c>
      <c r="G2" s="8" t="s">
        <v>194</v>
      </c>
      <c r="I2" s="32" t="s">
        <v>239</v>
      </c>
      <c r="J2" s="32" t="s">
        <v>245</v>
      </c>
      <c r="K2" s="32" t="s">
        <v>252</v>
      </c>
      <c r="L2" s="21" t="s">
        <v>161</v>
      </c>
      <c r="M2" s="34">
        <v>43783</v>
      </c>
      <c r="N2" s="32" t="s">
        <v>282</v>
      </c>
      <c r="O2" s="32" t="s">
        <v>285</v>
      </c>
      <c r="P2" s="32" t="s">
        <v>174</v>
      </c>
    </row>
    <row r="3" spans="1:16" x14ac:dyDescent="0.3">
      <c r="A3" s="4" t="s">
        <v>298</v>
      </c>
      <c r="C3" s="7" t="s">
        <v>195</v>
      </c>
      <c r="D3" s="8" t="s">
        <v>196</v>
      </c>
      <c r="F3" s="7" t="s">
        <v>197</v>
      </c>
      <c r="G3" s="8" t="s">
        <v>198</v>
      </c>
      <c r="I3" s="8" t="s">
        <v>242</v>
      </c>
      <c r="J3" s="8" t="s">
        <v>246</v>
      </c>
      <c r="K3" s="32" t="s">
        <v>251</v>
      </c>
      <c r="M3" s="34">
        <v>43790</v>
      </c>
      <c r="N3" s="32" t="s">
        <v>283</v>
      </c>
      <c r="O3" s="32" t="s">
        <v>286</v>
      </c>
      <c r="P3" s="32" t="s">
        <v>175</v>
      </c>
    </row>
    <row r="4" spans="1:16" x14ac:dyDescent="0.3">
      <c r="A4" s="4" t="s">
        <v>297</v>
      </c>
      <c r="C4" s="7" t="s">
        <v>199</v>
      </c>
      <c r="D4" s="8" t="s">
        <v>200</v>
      </c>
      <c r="F4" s="7" t="s">
        <v>201</v>
      </c>
      <c r="G4" s="8" t="s">
        <v>202</v>
      </c>
      <c r="I4" s="8" t="s">
        <v>241</v>
      </c>
      <c r="J4" s="8" t="s">
        <v>247</v>
      </c>
      <c r="K4" s="32"/>
      <c r="M4" s="34">
        <v>43797</v>
      </c>
      <c r="N4" s="32"/>
      <c r="O4" s="32" t="s">
        <v>287</v>
      </c>
      <c r="P4" s="32"/>
    </row>
    <row r="5" spans="1:16" x14ac:dyDescent="0.3">
      <c r="A5" s="4" t="s">
        <v>177</v>
      </c>
      <c r="C5" s="7" t="s">
        <v>203</v>
      </c>
      <c r="D5" s="8" t="s">
        <v>204</v>
      </c>
      <c r="F5" s="7" t="s">
        <v>205</v>
      </c>
      <c r="G5" s="8" t="s">
        <v>206</v>
      </c>
      <c r="I5" s="8" t="s">
        <v>240</v>
      </c>
      <c r="J5" s="8" t="s">
        <v>248</v>
      </c>
      <c r="K5" s="32"/>
      <c r="M5" s="34" t="s">
        <v>265</v>
      </c>
      <c r="N5" s="32"/>
      <c r="O5" s="32" t="s">
        <v>288</v>
      </c>
      <c r="P5" s="32"/>
    </row>
    <row r="6" spans="1:16" x14ac:dyDescent="0.3">
      <c r="A6" s="4" t="s">
        <v>178</v>
      </c>
      <c r="C6" s="7" t="s">
        <v>207</v>
      </c>
      <c r="D6" s="8" t="s">
        <v>208</v>
      </c>
      <c r="F6" s="7" t="s">
        <v>209</v>
      </c>
      <c r="G6" s="8" t="s">
        <v>210</v>
      </c>
      <c r="I6" s="8" t="s">
        <v>244</v>
      </c>
      <c r="J6" s="8" t="s">
        <v>249</v>
      </c>
      <c r="K6" s="32"/>
      <c r="M6" s="34" t="s">
        <v>161</v>
      </c>
      <c r="N6" s="32"/>
      <c r="O6" s="32" t="s">
        <v>289</v>
      </c>
      <c r="P6" s="32"/>
    </row>
    <row r="7" spans="1:16" x14ac:dyDescent="0.3">
      <c r="A7" s="4" t="s">
        <v>179</v>
      </c>
      <c r="C7" s="7" t="s">
        <v>211</v>
      </c>
      <c r="D7" s="8" t="s">
        <v>212</v>
      </c>
      <c r="F7" s="7" t="s">
        <v>235</v>
      </c>
      <c r="G7" s="8" t="s">
        <v>238</v>
      </c>
      <c r="I7" s="10" t="s">
        <v>161</v>
      </c>
      <c r="M7" s="34" t="s">
        <v>161</v>
      </c>
      <c r="N7" s="32"/>
      <c r="O7" s="32" t="s">
        <v>290</v>
      </c>
      <c r="P7" s="32"/>
    </row>
    <row r="8" spans="1:16" x14ac:dyDescent="0.3">
      <c r="A8" s="4" t="s">
        <v>180</v>
      </c>
      <c r="C8" s="7" t="s">
        <v>215</v>
      </c>
      <c r="D8" s="8" t="s">
        <v>216</v>
      </c>
      <c r="F8" s="7" t="s">
        <v>236</v>
      </c>
      <c r="G8" s="8" t="s">
        <v>237</v>
      </c>
      <c r="M8" s="34" t="s">
        <v>161</v>
      </c>
      <c r="N8" s="32"/>
      <c r="O8" s="32" t="s">
        <v>291</v>
      </c>
      <c r="P8" s="32"/>
    </row>
    <row r="9" spans="1:16" x14ac:dyDescent="0.3">
      <c r="A9" s="4" t="s">
        <v>181</v>
      </c>
      <c r="C9" s="9" t="s">
        <v>219</v>
      </c>
      <c r="D9" s="8" t="s">
        <v>220</v>
      </c>
      <c r="F9" s="7" t="s">
        <v>213</v>
      </c>
      <c r="G9" s="8" t="s">
        <v>214</v>
      </c>
    </row>
    <row r="10" spans="1:16" x14ac:dyDescent="0.3">
      <c r="A10" s="4" t="s">
        <v>182</v>
      </c>
      <c r="F10" s="7" t="s">
        <v>217</v>
      </c>
      <c r="G10" s="8" t="s">
        <v>218</v>
      </c>
    </row>
    <row r="11" spans="1:16" x14ac:dyDescent="0.3">
      <c r="A11" s="4" t="s">
        <v>183</v>
      </c>
      <c r="F11" s="7" t="s">
        <v>221</v>
      </c>
      <c r="G11" s="8" t="s">
        <v>222</v>
      </c>
    </row>
    <row r="12" spans="1:16" x14ac:dyDescent="0.3">
      <c r="A12" s="4" t="s">
        <v>184</v>
      </c>
      <c r="F12" s="7" t="s">
        <v>223</v>
      </c>
      <c r="G12" s="8" t="s">
        <v>224</v>
      </c>
    </row>
    <row r="13" spans="1:16" x14ac:dyDescent="0.3">
      <c r="A13" s="4" t="s">
        <v>185</v>
      </c>
      <c r="F13" s="7" t="s">
        <v>225</v>
      </c>
      <c r="G13" s="8" t="s">
        <v>226</v>
      </c>
    </row>
    <row r="14" spans="1:16" x14ac:dyDescent="0.3">
      <c r="A14" s="4" t="s">
        <v>186</v>
      </c>
      <c r="F14" s="7" t="s">
        <v>227</v>
      </c>
      <c r="G14" s="8" t="s">
        <v>228</v>
      </c>
    </row>
    <row r="15" spans="1:16" x14ac:dyDescent="0.3">
      <c r="A15" s="4" t="s">
        <v>187</v>
      </c>
      <c r="F15" s="7" t="s">
        <v>229</v>
      </c>
      <c r="G15" s="8" t="s">
        <v>230</v>
      </c>
    </row>
    <row r="16" spans="1:16" x14ac:dyDescent="0.3">
      <c r="A16" s="4" t="s">
        <v>184</v>
      </c>
      <c r="F16" s="7" t="s">
        <v>231</v>
      </c>
      <c r="G16" s="8" t="s">
        <v>232</v>
      </c>
    </row>
    <row r="17" spans="1:7" x14ac:dyDescent="0.3">
      <c r="A17" s="4" t="s">
        <v>185</v>
      </c>
      <c r="F17" s="9" t="s">
        <v>233</v>
      </c>
      <c r="G17" s="9" t="s">
        <v>234</v>
      </c>
    </row>
    <row r="18" spans="1:7" x14ac:dyDescent="0.3">
      <c r="A18" s="4" t="s">
        <v>186</v>
      </c>
    </row>
    <row r="19" spans="1:7" x14ac:dyDescent="0.3">
      <c r="A19" s="4" t="s">
        <v>187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1866F-BAD1-4EA9-A5DB-504B5D59EAF4}">
  <sheetPr codeName="Sheet8"/>
  <dimension ref="A1:B3"/>
  <sheetViews>
    <sheetView workbookViewId="0">
      <selection activeCell="D15" sqref="D15"/>
    </sheetView>
  </sheetViews>
  <sheetFormatPr defaultRowHeight="14.4" x14ac:dyDescent="0.3"/>
  <cols>
    <col min="1" max="1" width="20.33203125" bestFit="1" customWidth="1"/>
    <col min="2" max="2" width="78.44140625" bestFit="1" customWidth="1"/>
  </cols>
  <sheetData>
    <row r="1" spans="1:2" x14ac:dyDescent="0.3">
      <c r="A1" t="s">
        <v>267</v>
      </c>
      <c r="B1" s="17" t="s">
        <v>266</v>
      </c>
    </row>
    <row r="3" spans="1:2" x14ac:dyDescent="0.3">
      <c r="A3" t="s">
        <v>292</v>
      </c>
      <c r="B3" t="s">
        <v>293</v>
      </c>
    </row>
  </sheetData>
  <hyperlinks>
    <hyperlink ref="B1" r:id="rId1" xr:uid="{850F749D-6FBE-4C2A-A79D-CB6ED24B5A84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E0B8E3F-830E-4BF5-9851-6061A837B2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Nifty</vt:lpstr>
      <vt:lpstr>BankNifty</vt:lpstr>
      <vt:lpstr>Intraday</vt:lpstr>
      <vt:lpstr>Returns</vt:lpstr>
      <vt:lpstr>Master</vt:lpstr>
      <vt:lpstr>Ref</vt:lpstr>
      <vt:lpstr>Index_</vt:lpstr>
      <vt:lpstr>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Prabu, Sathiya</dc:creator>
  <cp:lastModifiedBy>Ronav</cp:lastModifiedBy>
  <dcterms:created xsi:type="dcterms:W3CDTF">2019-04-01T14:22:48Z</dcterms:created>
  <dcterms:modified xsi:type="dcterms:W3CDTF">2019-12-09T15:51:11Z</dcterms:modified>
</cp:coreProperties>
</file>