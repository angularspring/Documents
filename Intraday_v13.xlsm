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nav\Desktop\"/>
    </mc:Choice>
  </mc:AlternateContent>
  <xr:revisionPtr revIDLastSave="0" documentId="13_ncr:1_{9C32BFAB-5ECA-4B84-AD88-15CD27D198ED}" xr6:coauthVersionLast="45" xr6:coauthVersionMax="45" xr10:uidLastSave="{00000000-0000-0000-0000-000000000000}"/>
  <bookViews>
    <workbookView xWindow="-108" yWindow="-108" windowWidth="23256" windowHeight="13176" tabRatio="487" firstSheet="1" activeTab="1" xr2:uid="{0F88F462-BE8E-4E96-94DE-94BCA5FADF4D}"/>
  </bookViews>
  <sheets>
    <sheet name="Master" sheetId="27" state="hidden" r:id="rId1"/>
    <sheet name="Intraday" sheetId="1" r:id="rId2"/>
  </sheets>
  <definedNames>
    <definedName name="Date">#REF!</definedName>
    <definedName name="Expiry_">#REF!</definedName>
    <definedName name="ExternalData_1" localSheetId="1" hidden="1">Intraday!#REF!</definedName>
    <definedName name="ExternalData_10" localSheetId="1" hidden="1">Intraday!$A$2:$D$22</definedName>
    <definedName name="ExternalData_12" localSheetId="1" hidden="1">Intraday!$F$2:$M$52</definedName>
    <definedName name="ExternalData_13" localSheetId="1" hidden="1">Intraday!#REF!</definedName>
    <definedName name="ExternalData_2" localSheetId="1" hidden="1">Intraday!#REF!</definedName>
    <definedName name="ExternalData_3" localSheetId="1" hidden="1">Intraday!#REF!</definedName>
    <definedName name="ExternalData_4" localSheetId="1" hidden="1">Intraday!#REF!</definedName>
    <definedName name="ExternalData_5" localSheetId="1" hidden="1">Intraday!#REF!</definedName>
    <definedName name="ExternalData_8" localSheetId="1" hidden="1">Intraday!#REF!</definedName>
    <definedName name="Forpast_">#REF!</definedName>
    <definedName name="Index_">Intraday!$D$1</definedName>
    <definedName name="Instrument">#REF!</definedName>
    <definedName name="Instrument_">#REF!</definedName>
    <definedName name="Link_">#REF!</definedName>
    <definedName name="OILink_">#REF!</definedName>
    <definedName name="OptionType_">#REF!</definedName>
    <definedName name="Query___Nifty50Gainers" localSheetId="1" hidden="1">Intraday!#REF!</definedName>
    <definedName name="Query___Nifty50Losers" localSheetId="1" hidden="1">Intraday!#REF!</definedName>
    <definedName name="Query___Nitfy_Indices" localSheetId="1" hidden="1">Intraday!#REF!</definedName>
    <definedName name="Script">#REF!</definedName>
    <definedName name="StrikePrice_">#REF!</definedName>
    <definedName name="Symbol">#REF!</definedName>
    <definedName name="Symbol_">#REF!</definedName>
    <definedName name="time">Intraday!$C$1</definedName>
    <definedName name="Year_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" l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FF7A5D-E2D6-4B26-A595-2D774A1D9296}" keepAlive="1" interval="1" name="Query - HourlyFinal" description="Connection to the 'HourlyFinal' query in the workbook." type="5" refreshedVersion="6" background="1" saveData="1">
    <dbPr connection="Provider=Microsoft.Mashup.OleDb.1;Data Source=$Workbook$;Location=HourlyFinal;Extended Properties=&quot;&quot;" command="SELECT * FROM [HourlyFinal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93FADB55-E990-4AE1-A070-427FEE6B56F4}" keepAlive="1" name="Query - Hourlygainers_" description="Connection to the 'Hourlygainers_' query in the workbook." type="5" refreshedVersion="6" background="1" saveData="1">
    <dbPr connection="Provider=Microsoft.Mashup.OleDb.1;Data Source=$Workbook$;Location=Hourlygainers_;Extended Properties=&quot;&quot;" command="SELECT * FROM [Hourlygainers_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CD73E751-9101-4FCD-B478-A12C907F26F7}" keepAlive="1" name="Query - Hourlylosers_" description="Connection to the 'Hourlylosers_' query in the workbook." type="5" refreshedVersion="0" background="1" saveData="1">
    <dbPr connection="Provider=Microsoft.Mashup.OleDb.1;Data Source=$Workbook$;Location=Hourlylosers_;Extended Properties=&quot;&quot;" command="SELECT * FROM [Hourlylosers_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74886A06-A06D-49D5-A9FB-E92644D841E5}" keepAlive="1" name="Query - Index_" description="Connection to the 'Index_' query in the workbook." type="5" refreshedVersion="0" background="1">
    <dbPr connection="Provider=Microsoft.Mashup.OleDb.1;Data Source=$Workbook$;Location=Index_;Extended Properties=&quot;&quot;" command="SELECT * FROM [Index_]"/>
  </connection>
  <connection id="5" xr16:uid="{EC3DD394-1CA4-415F-9C6A-32A1A909138A}" keepAlive="1" interval="5" name="Query - Nifty500Final" description="Connection to the 'Nifty500Final' query in the workbook." type="5" refreshedVersion="6" background="1" saveData="1">
    <dbPr connection="Provider=Microsoft.Mashup.OleDb.1;Data Source=$Workbook$;Location=Nifty500Final;Extended Properties=&quot;&quot;" command="SELECT * FROM [Nifty500Final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FF079012-AA20-4934-9C5E-80B9407D6A34}" odcFile="C:\Users\e3013467\Desktop\Query - time.odc" keepAlive="1" name="Query - time" description="Connection to the 'time' query in the workbook." type="5" refreshedVersion="0" new="1" background="1" saveData="1">
    <dbPr connection="Provider=Microsoft.Mashup.OleDb.1;Data Source=$Workbook$;Location=time;Extended Properties=&quot;&quot;" command="SELECT * FROM [time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A3D52171-F059-4C5F-9497-A91E9718DA8D}" keepAlive="1" name="Query - TopGainers500" description="Connection to the 'TopGainers500' query in the workbook." type="5" refreshedVersion="6" background="1" saveData="1">
    <dbPr connection="Provider=Microsoft.Mashup.OleDb.1;Data Source=$Workbook$;Location=TopGainers500;Extended Properties=&quot;&quot;" command="SELECT * FROM [TopGainers500]"/>
  </connection>
  <connection id="8" xr16:uid="{72C445D0-DA50-4A45-AD05-068488DC47C9}" keepAlive="1" name="Query - TopLosers500" description="Connection to the 'TopLosers500' query in the workbook." type="5" refreshedVersion="6" background="1" saveData="1">
    <dbPr connection="Provider=Microsoft.Mashup.OleDb.1;Data Source=$Workbook$;Location=TopLosers500;Extended Properties=&quot;&quot;" command="SELECT * FROM [TopLosers500]"/>
  </connection>
</connections>
</file>

<file path=xl/sharedStrings.xml><?xml version="1.0" encoding="utf-8"?>
<sst xmlns="http://schemas.openxmlformats.org/spreadsheetml/2006/main" count="174" uniqueCount="148">
  <si>
    <t>Symbol</t>
  </si>
  <si>
    <t>Open</t>
  </si>
  <si>
    <t>High</t>
  </si>
  <si>
    <t>Low</t>
  </si>
  <si>
    <t>LTP</t>
  </si>
  <si>
    <t>YESBANK</t>
  </si>
  <si>
    <t>%Change</t>
  </si>
  <si>
    <t>Volume(M)</t>
  </si>
  <si>
    <t>%Reject</t>
  </si>
  <si>
    <t xml:space="preserve"> </t>
  </si>
  <si>
    <t>%Chng</t>
  </si>
  <si>
    <t>Expiry</t>
  </si>
  <si>
    <t>-</t>
  </si>
  <si>
    <t>Trend</t>
  </si>
  <si>
    <t>26SEP2019</t>
  </si>
  <si>
    <t>26DEC2019</t>
  </si>
  <si>
    <t>26MAR2020</t>
  </si>
  <si>
    <t>25JUN2020</t>
  </si>
  <si>
    <t>31DEC2020</t>
  </si>
  <si>
    <t>24JUN2021</t>
  </si>
  <si>
    <t>30DEC2021</t>
  </si>
  <si>
    <t>30JUN2022</t>
  </si>
  <si>
    <t>29DEC2022</t>
  </si>
  <si>
    <t>29JUN2023</t>
  </si>
  <si>
    <t>28DEC2023</t>
  </si>
  <si>
    <t>Time</t>
  </si>
  <si>
    <t>Value</t>
  </si>
  <si>
    <t>Index</t>
  </si>
  <si>
    <t>Code</t>
  </si>
  <si>
    <t>Current Hour</t>
  </si>
  <si>
    <t>NIFTY50</t>
  </si>
  <si>
    <t>&amp;index=2369</t>
  </si>
  <si>
    <t>09:00-10:00</t>
  </si>
  <si>
    <t>&amp;starttime=09-00&amp;endtime=10-00</t>
  </si>
  <si>
    <t>NIFTY100</t>
  </si>
  <si>
    <t>&amp;index=2510</t>
  </si>
  <si>
    <t>10:00-11:00</t>
  </si>
  <si>
    <t>&amp;starttime=10-00&amp;endtime=11-00</t>
  </si>
  <si>
    <t>NIFTY200</t>
  </si>
  <si>
    <t>&amp;index=13602</t>
  </si>
  <si>
    <t>11:00-12:00</t>
  </si>
  <si>
    <t>&amp;starttime=11-00&amp;endtime=12-00</t>
  </si>
  <si>
    <t>NIFTY500</t>
  </si>
  <si>
    <t>&amp;index=2371</t>
  </si>
  <si>
    <t>12:00-13:00</t>
  </si>
  <si>
    <t>&amp;starttime=12-00&amp;endtime=13-00</t>
  </si>
  <si>
    <t>NIFTYBANK</t>
  </si>
  <si>
    <t>&amp;index=1913%2C15270%2C13026</t>
  </si>
  <si>
    <t>13:00-14:00</t>
  </si>
  <si>
    <t>&amp;starttime=13-00&amp;endtime=14-00</t>
  </si>
  <si>
    <t>NIFTYIT</t>
  </si>
  <si>
    <t>&amp;index=186</t>
  </si>
  <si>
    <t>14:00-15:00</t>
  </si>
  <si>
    <t>&amp;starttime=14-00&amp;endtime=15-00</t>
  </si>
  <si>
    <t>NIFTYAUTO</t>
  </si>
  <si>
    <t>&amp;index=13603</t>
  </si>
  <si>
    <t>15:00-16:00</t>
  </si>
  <si>
    <t>&amp;starttime=15-00&amp;endtime=16-00</t>
  </si>
  <si>
    <t>NIFTYPHARMA</t>
  </si>
  <si>
    <t>&amp;index=13017</t>
  </si>
  <si>
    <t>NIFTYFMCG</t>
  </si>
  <si>
    <t>&amp;index=13027</t>
  </si>
  <si>
    <t>NIFTYENERGY</t>
  </si>
  <si>
    <t>&amp;index=13016</t>
  </si>
  <si>
    <t>NIFTYMEDIA</t>
  </si>
  <si>
    <t>&amp;index=13604</t>
  </si>
  <si>
    <t>NIFTYFINSERVICE</t>
  </si>
  <si>
    <t>&amp;index=13655</t>
  </si>
  <si>
    <t>NIFTYMETAL</t>
  </si>
  <si>
    <t>&amp;index=13605</t>
  </si>
  <si>
    <t>NIFTYREALTY</t>
  </si>
  <si>
    <t>&amp;index=13030</t>
  </si>
  <si>
    <t>NIFTYPVTBANK</t>
  </si>
  <si>
    <t>NIFTYPSUBANK</t>
  </si>
  <si>
    <t>&amp;index=13026</t>
  </si>
  <si>
    <t>&amp;index=15270</t>
  </si>
  <si>
    <t>A</t>
  </si>
  <si>
    <t>D</t>
  </si>
  <si>
    <t>C</t>
  </si>
  <si>
    <t>B</t>
  </si>
  <si>
    <t>Group</t>
  </si>
  <si>
    <t>E</t>
  </si>
  <si>
    <t>BUY</t>
  </si>
  <si>
    <t>SELL</t>
  </si>
  <si>
    <t>NETURAL</t>
  </si>
  <si>
    <t>OVERBOUGHT</t>
  </si>
  <si>
    <t>OVERSOLD</t>
  </si>
  <si>
    <t>Spike Alert</t>
  </si>
  <si>
    <t>ON</t>
  </si>
  <si>
    <t>OFF</t>
  </si>
  <si>
    <t>11JUL2019</t>
  </si>
  <si>
    <t>4JUL2019</t>
  </si>
  <si>
    <t>INDIANB</t>
  </si>
  <si>
    <t>TRIDENT</t>
  </si>
  <si>
    <t>ESSELPACK</t>
  </si>
  <si>
    <t>JAMNAAUTO</t>
  </si>
  <si>
    <t>ITI</t>
  </si>
  <si>
    <t>FINEORG</t>
  </si>
  <si>
    <t>LAURUSLABS</t>
  </si>
  <si>
    <t>KRBL</t>
  </si>
  <si>
    <t>IBVENTURES</t>
  </si>
  <si>
    <t>IDEA</t>
  </si>
  <si>
    <t>FORTIS</t>
  </si>
  <si>
    <t>COFFEEDAYBE</t>
  </si>
  <si>
    <t>DHFL</t>
  </si>
  <si>
    <t>MMTC</t>
  </si>
  <si>
    <t>ITDCEM</t>
  </si>
  <si>
    <t>PRESTIGE</t>
  </si>
  <si>
    <t>JMFINANCIL</t>
  </si>
  <si>
    <t>COX&amp;KINGS</t>
  </si>
  <si>
    <t>DCAL</t>
  </si>
  <si>
    <t>REPCOHOME</t>
  </si>
  <si>
    <t>VEDL</t>
  </si>
  <si>
    <t>IBULISL</t>
  </si>
  <si>
    <t>GREAVESCOT</t>
  </si>
  <si>
    <t>MAHABANK</t>
  </si>
  <si>
    <t>LEMONTREE</t>
  </si>
  <si>
    <t>FCONSUMER</t>
  </si>
  <si>
    <t>KOLTEPATIL</t>
  </si>
  <si>
    <t>ANDHRABANK</t>
  </si>
  <si>
    <t>SYNDIBANK</t>
  </si>
  <si>
    <t>SUNCLAYLTD</t>
  </si>
  <si>
    <t>SUPRAJIT</t>
  </si>
  <si>
    <t>INFRATEL</t>
  </si>
  <si>
    <t>ORIENTBANK</t>
  </si>
  <si>
    <t>NIACL</t>
  </si>
  <si>
    <t>BHEL</t>
  </si>
  <si>
    <t>HSCL</t>
  </si>
  <si>
    <t>VARROC</t>
  </si>
  <si>
    <t>THOMASCOOK</t>
  </si>
  <si>
    <t>CORPBANK</t>
  </si>
  <si>
    <t>ALBK</t>
  </si>
  <si>
    <t>DEN</t>
  </si>
  <si>
    <t>UCOBANK</t>
  </si>
  <si>
    <t>BANKBARODA</t>
  </si>
  <si>
    <t>DIVISLAB</t>
  </si>
  <si>
    <t>METROPOLIS</t>
  </si>
  <si>
    <t>SHOPERSTOP</t>
  </si>
  <si>
    <t>BRIGADE</t>
  </si>
  <si>
    <t>STARCEMENT</t>
  </si>
  <si>
    <t>MHRIL</t>
  </si>
  <si>
    <t>TATAMTRDVR</t>
  </si>
  <si>
    <t>MAHINDCIE</t>
  </si>
  <si>
    <t>JKPAPER</t>
  </si>
  <si>
    <t>HUDCO</t>
  </si>
  <si>
    <t>UJJIVAN</t>
  </si>
  <si>
    <t>PAGEIND</t>
  </si>
  <si>
    <t>EIDPARRY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</si>
</sst>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164" fontId="0" fillId="0" borderId="0" xfId="1" applyNumberFormat="1" applyFont="1"/>
    <xf numFmtId="0" fontId="0" fillId="2" borderId="0" xfId="0" applyFill="1"/>
    <xf numFmtId="49" fontId="0" fillId="0" borderId="0" xfId="0" applyNumberFormat="1"/>
    <xf numFmtId="0" fontId="3" fillId="3" borderId="2" xfId="0" applyFont="1" applyFill="1" applyBorder="1"/>
    <xf numFmtId="0" fontId="3" fillId="3" borderId="3" xfId="0" applyFont="1" applyFill="1" applyBorder="1"/>
    <xf numFmtId="16" fontId="2" fillId="2" borderId="1" xfId="0" applyNumberFormat="1" applyFont="1" applyFill="1" applyBorder="1"/>
    <xf numFmtId="0" fontId="0" fillId="2" borderId="1" xfId="0" applyFill="1" applyBorder="1"/>
    <xf numFmtId="16" fontId="0" fillId="2" borderId="1" xfId="0" applyNumberFormat="1" applyFill="1" applyBorder="1"/>
    <xf numFmtId="0" fontId="0" fillId="2" borderId="0" xfId="0" applyFill="1" applyBorder="1"/>
    <xf numFmtId="0" fontId="0" fillId="0" borderId="4" xfId="0" applyBorder="1"/>
    <xf numFmtId="0" fontId="0" fillId="0" borderId="4" xfId="0" applyNumberFormat="1" applyBorder="1"/>
    <xf numFmtId="164" fontId="0" fillId="0" borderId="4" xfId="1" applyNumberFormat="1" applyFont="1" applyBorder="1"/>
    <xf numFmtId="0" fontId="0" fillId="0" borderId="5" xfId="0" applyNumberFormat="1" applyBorder="1"/>
    <xf numFmtId="0" fontId="0" fillId="0" borderId="5" xfId="0" applyBorder="1"/>
    <xf numFmtId="14" fontId="0" fillId="0" borderId="0" xfId="0" applyNumberFormat="1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164" fontId="0" fillId="0" borderId="5" xfId="1" applyNumberFormat="1" applyFont="1" applyBorder="1"/>
    <xf numFmtId="0" fontId="4" fillId="0" borderId="0" xfId="0" applyFont="1" applyAlignment="1">
      <alignment vertical="top"/>
    </xf>
    <xf numFmtId="0" fontId="3" fillId="3" borderId="1" xfId="0" applyFont="1" applyFill="1" applyBorder="1"/>
    <xf numFmtId="0" fontId="0" fillId="0" borderId="1" xfId="0" applyBorder="1"/>
    <xf numFmtId="0" fontId="0" fillId="0" borderId="0" xfId="0" applyFill="1"/>
    <xf numFmtId="0" fontId="0" fillId="0" borderId="6" xfId="0" applyNumberFormat="1" applyBorder="1"/>
    <xf numFmtId="0" fontId="0" fillId="0" borderId="6" xfId="0" applyBorder="1"/>
    <xf numFmtId="164" fontId="0" fillId="0" borderId="6" xfId="1" applyNumberFormat="1" applyFont="1" applyBorder="1"/>
  </cellXfs>
  <cellStyles count="2">
    <cellStyle name="Normal" xfId="0" builtinId="0"/>
    <cellStyle name="Percent" xfId="1" builtinId="5"/>
  </cellStyles>
  <dxfs count="19"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%"/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numFmt numFmtId="30" formatCode="@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</dxfs>
  <tableStyles count="0" defaultTableStyle="TableStyleMedium2" defaultPivotStyle="PivotStyleLight16"/>
  <colors>
    <mruColors>
      <color rgb="FFCC00FF"/>
      <color rgb="FF07E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1" xr16:uid="{F183F436-9707-417F-9EB3-25607703A16E}" autoFormatId="16" applyNumberFormats="0" applyBorderFormats="0" applyFontFormats="0" applyPatternFormats="0" applyAlignmentFormats="0" applyWidthHeightFormats="0">
  <queryTableRefresh nextId="5">
    <queryTableFields count="4">
      <queryTableField id="1" name="Symbol" tableColumnId="1"/>
      <queryTableField id="2" name="LTP" tableColumnId="2"/>
      <queryTableField id="3" name="%Chng" tableColumnId="3"/>
      <queryTableField id="4" name="Volume(M)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5" xr16:uid="{3769C39F-9C10-4754-BE2A-1722F54C660F}" autoFormatId="16" applyNumberFormats="0" applyBorderFormats="0" applyFontFormats="0" applyPatternFormats="0" applyAlignmentFormats="0" applyWidthHeightFormats="0">
  <queryTableRefresh nextId="9">
    <queryTableFields count="8">
      <queryTableField id="1" name="Symbol" tableColumnId="1"/>
      <queryTableField id="2" name="LTP" tableColumnId="2"/>
      <queryTableField id="3" name="%Change" tableColumnId="3"/>
      <queryTableField id="4" name="Volume(M)" tableColumnId="4"/>
      <queryTableField id="5" name="%Reject" tableColumnId="5"/>
      <queryTableField id="6" name="High" tableColumnId="6"/>
      <queryTableField id="7" name="Low" tableColumnId="7"/>
      <queryTableField id="8" name="Open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943802-5898-4023-9E0E-91766C222B09}" name="Table4" displayName="Table4" ref="A1:A23" totalsRowShown="0" headerRowDxfId="18" headerRowBorderDxfId="17">
  <autoFilter ref="A1:A23" xr:uid="{3A102B75-E542-476A-BE33-73117C1F273C}"/>
  <tableColumns count="1">
    <tableColumn id="1" xr3:uid="{87D4659C-7799-41CE-B156-CBAC50B02082}" name="Expiry" dataDxfId="1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C4CAC-0768-4111-82D6-F9CA1C69E482}" name="HourlyFinal" displayName="HourlyFinal" ref="A2:D22" tableType="queryTable" totalsRowShown="0" headerRowDxfId="12">
  <autoFilter ref="A2:D22" xr:uid="{A69DDF9D-D370-4E37-A400-E363498B4690}"/>
  <tableColumns count="4">
    <tableColumn id="1" xr3:uid="{762BBD6C-B7E2-4CC5-A260-7E6D35936CCB}" uniqueName="1" name="Symbol" queryTableFieldId="1" dataDxfId="3"/>
    <tableColumn id="2" xr3:uid="{CB05942C-CB96-416A-A906-F73CEB07ACDF}" uniqueName="2" name="LTP" queryTableFieldId="2" dataDxfId="2"/>
    <tableColumn id="3" xr3:uid="{7DF3F69A-DE3D-4A75-ADF5-64115B5BA24A}" uniqueName="3" name="%Chng" queryTableFieldId="3" dataDxfId="1"/>
    <tableColumn id="4" xr3:uid="{460F41B6-B921-4237-BD48-2C4EB7A3DCF7}" uniqueName="4" name="Volume(M)" queryTableFieldId="4" dataDxfId="0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91CB92-A950-4F4B-8576-0F1C849EC04F}" name="Nifty500Final" displayName="Nifty500Final" ref="F2:M52" tableType="queryTable" totalsRowShown="0">
  <autoFilter ref="F2:M52" xr:uid="{36FB5CD1-63E0-482E-9EF4-668C053610DA}"/>
  <sortState ref="F3:M52">
    <sortCondition descending="1" ref="H2:H52"/>
  </sortState>
  <tableColumns count="8">
    <tableColumn id="1" xr3:uid="{D9346CCC-F62B-4896-B72A-BF578CE68F3E}" uniqueName="1" name="Symbol" queryTableFieldId="1" dataDxfId="11"/>
    <tableColumn id="2" xr3:uid="{5D1FD232-BD9C-4BD7-B6C5-F96C917179C4}" uniqueName="2" name="LTP" queryTableFieldId="2" dataDxfId="10"/>
    <tableColumn id="3" xr3:uid="{552ED945-6633-49F5-AF21-9A343F649B63}" uniqueName="3" name="%Change" queryTableFieldId="3" dataDxfId="9"/>
    <tableColumn id="4" xr3:uid="{13A9D52F-4609-467E-BFF2-BD816F8C7D7C}" uniqueName="4" name="Volume(M)" queryTableFieldId="4" dataDxfId="8"/>
    <tableColumn id="5" xr3:uid="{496881C9-2D25-4454-9A9C-5307CF79C4E4}" uniqueName="5" name="%Reject" queryTableFieldId="5" dataDxfId="7" dataCellStyle="Percent"/>
    <tableColumn id="6" xr3:uid="{2D72795A-C2CB-4369-BD07-9075847C634C}" uniqueName="6" name="High" queryTableFieldId="6" dataDxfId="6"/>
    <tableColumn id="7" xr3:uid="{099FD7CB-E774-4DF7-9D67-4F3DE7D0905F}" uniqueName="7" name="Low" queryTableFieldId="7" dataDxfId="5"/>
    <tableColumn id="8" xr3:uid="{71368413-69C6-447B-B6E5-686444956F8E}" uniqueName="8" name="Open" queryTableFieldId="8" dataDxfId="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8FB8A-B5C7-49CE-8B0E-F98DD628E98F}">
  <sheetPr codeName="Sheet3"/>
  <dimension ref="A1:L19"/>
  <sheetViews>
    <sheetView showGridLines="0" topLeftCell="E1" workbookViewId="0">
      <selection activeCell="R11" sqref="R11"/>
    </sheetView>
  </sheetViews>
  <sheetFormatPr defaultRowHeight="14.4" x14ac:dyDescent="0.3"/>
  <cols>
    <col min="1" max="1" width="14.44140625" style="3" customWidth="1"/>
    <col min="3" max="3" width="14.109375" style="2" bestFit="1" customWidth="1"/>
    <col min="4" max="4" width="33" style="2" customWidth="1"/>
    <col min="5" max="5" width="9" style="2" bestFit="1" customWidth="1"/>
    <col min="6" max="6" width="15.88671875" style="2" customWidth="1"/>
    <col min="7" max="7" width="30.33203125" style="2" customWidth="1"/>
    <col min="10" max="10" width="13.5546875" customWidth="1"/>
    <col min="11" max="11" width="10.6640625" bestFit="1" customWidth="1"/>
    <col min="12" max="12" width="10.44140625" bestFit="1" customWidth="1"/>
  </cols>
  <sheetData>
    <row r="1" spans="1:12" x14ac:dyDescent="0.3">
      <c r="A1" s="4" t="s">
        <v>11</v>
      </c>
      <c r="C1" s="4" t="s">
        <v>25</v>
      </c>
      <c r="D1" s="5" t="s">
        <v>26</v>
      </c>
      <c r="F1" s="4" t="s">
        <v>27</v>
      </c>
      <c r="G1" s="5" t="s">
        <v>28</v>
      </c>
      <c r="I1" s="21" t="s">
        <v>80</v>
      </c>
      <c r="J1" s="21" t="s">
        <v>13</v>
      </c>
      <c r="K1" s="21" t="s">
        <v>87</v>
      </c>
    </row>
    <row r="2" spans="1:12" x14ac:dyDescent="0.3">
      <c r="A2" s="3" t="s">
        <v>12</v>
      </c>
      <c r="C2" s="6" t="s">
        <v>29</v>
      </c>
      <c r="D2" s="7"/>
      <c r="F2" s="6" t="s">
        <v>30</v>
      </c>
      <c r="G2" s="7" t="s">
        <v>31</v>
      </c>
      <c r="I2" s="22" t="s">
        <v>76</v>
      </c>
      <c r="J2" s="22" t="s">
        <v>82</v>
      </c>
      <c r="K2" s="22" t="s">
        <v>89</v>
      </c>
      <c r="L2" s="15" t="s">
        <v>9</v>
      </c>
    </row>
    <row r="3" spans="1:12" x14ac:dyDescent="0.3">
      <c r="A3" s="3" t="s">
        <v>91</v>
      </c>
      <c r="C3" s="6" t="s">
        <v>32</v>
      </c>
      <c r="D3" s="7" t="s">
        <v>33</v>
      </c>
      <c r="F3" s="6" t="s">
        <v>34</v>
      </c>
      <c r="G3" s="7" t="s">
        <v>35</v>
      </c>
      <c r="I3" s="7" t="s">
        <v>79</v>
      </c>
      <c r="J3" s="7" t="s">
        <v>83</v>
      </c>
      <c r="K3" s="22" t="s">
        <v>88</v>
      </c>
    </row>
    <row r="4" spans="1:12" x14ac:dyDescent="0.3">
      <c r="A4" s="3" t="s">
        <v>90</v>
      </c>
      <c r="C4" s="6" t="s">
        <v>36</v>
      </c>
      <c r="D4" s="7" t="s">
        <v>37</v>
      </c>
      <c r="F4" s="6" t="s">
        <v>38</v>
      </c>
      <c r="G4" s="7" t="s">
        <v>39</v>
      </c>
      <c r="I4" s="7" t="s">
        <v>78</v>
      </c>
      <c r="J4" s="7" t="s">
        <v>84</v>
      </c>
      <c r="K4" s="22"/>
    </row>
    <row r="5" spans="1:12" x14ac:dyDescent="0.3">
      <c r="A5" s="3" t="s">
        <v>14</v>
      </c>
      <c r="C5" s="6" t="s">
        <v>40</v>
      </c>
      <c r="D5" s="7" t="s">
        <v>41</v>
      </c>
      <c r="F5" s="6" t="s">
        <v>42</v>
      </c>
      <c r="G5" s="7" t="s">
        <v>43</v>
      </c>
      <c r="I5" s="7" t="s">
        <v>77</v>
      </c>
      <c r="J5" s="7" t="s">
        <v>85</v>
      </c>
      <c r="K5" s="22"/>
    </row>
    <row r="6" spans="1:12" x14ac:dyDescent="0.3">
      <c r="A6" s="3" t="s">
        <v>15</v>
      </c>
      <c r="C6" s="6" t="s">
        <v>44</v>
      </c>
      <c r="D6" s="7" t="s">
        <v>45</v>
      </c>
      <c r="F6" s="6" t="s">
        <v>46</v>
      </c>
      <c r="G6" s="7" t="s">
        <v>47</v>
      </c>
      <c r="I6" s="7" t="s">
        <v>81</v>
      </c>
      <c r="J6" s="7" t="s">
        <v>86</v>
      </c>
      <c r="K6" s="22"/>
    </row>
    <row r="7" spans="1:12" x14ac:dyDescent="0.3">
      <c r="A7" s="3" t="s">
        <v>16</v>
      </c>
      <c r="C7" s="6" t="s">
        <v>48</v>
      </c>
      <c r="D7" s="7" t="s">
        <v>49</v>
      </c>
      <c r="F7" s="6" t="s">
        <v>72</v>
      </c>
      <c r="G7" s="7" t="s">
        <v>75</v>
      </c>
      <c r="I7" s="9" t="s">
        <v>9</v>
      </c>
    </row>
    <row r="8" spans="1:12" x14ac:dyDescent="0.3">
      <c r="A8" s="3" t="s">
        <v>17</v>
      </c>
      <c r="C8" s="6" t="s">
        <v>52</v>
      </c>
      <c r="D8" s="7" t="s">
        <v>53</v>
      </c>
      <c r="F8" s="6" t="s">
        <v>73</v>
      </c>
      <c r="G8" s="7" t="s">
        <v>74</v>
      </c>
    </row>
    <row r="9" spans="1:12" x14ac:dyDescent="0.3">
      <c r="A9" s="3" t="s">
        <v>18</v>
      </c>
      <c r="C9" s="8" t="s">
        <v>56</v>
      </c>
      <c r="D9" s="7" t="s">
        <v>57</v>
      </c>
      <c r="F9" s="6" t="s">
        <v>50</v>
      </c>
      <c r="G9" s="7" t="s">
        <v>51</v>
      </c>
    </row>
    <row r="10" spans="1:12" x14ac:dyDescent="0.3">
      <c r="A10" s="3" t="s">
        <v>19</v>
      </c>
      <c r="F10" s="6" t="s">
        <v>54</v>
      </c>
      <c r="G10" s="7" t="s">
        <v>55</v>
      </c>
    </row>
    <row r="11" spans="1:12" x14ac:dyDescent="0.3">
      <c r="A11" s="3" t="s">
        <v>20</v>
      </c>
      <c r="F11" s="6" t="s">
        <v>58</v>
      </c>
      <c r="G11" s="7" t="s">
        <v>59</v>
      </c>
    </row>
    <row r="12" spans="1:12" x14ac:dyDescent="0.3">
      <c r="A12" s="3" t="s">
        <v>21</v>
      </c>
      <c r="F12" s="6" t="s">
        <v>60</v>
      </c>
      <c r="G12" s="7" t="s">
        <v>61</v>
      </c>
    </row>
    <row r="13" spans="1:12" x14ac:dyDescent="0.3">
      <c r="A13" s="3" t="s">
        <v>22</v>
      </c>
      <c r="F13" s="6" t="s">
        <v>62</v>
      </c>
      <c r="G13" s="7" t="s">
        <v>63</v>
      </c>
    </row>
    <row r="14" spans="1:12" x14ac:dyDescent="0.3">
      <c r="A14" s="3" t="s">
        <v>23</v>
      </c>
      <c r="F14" s="6" t="s">
        <v>64</v>
      </c>
      <c r="G14" s="7" t="s">
        <v>65</v>
      </c>
    </row>
    <row r="15" spans="1:12" x14ac:dyDescent="0.3">
      <c r="A15" s="3" t="s">
        <v>24</v>
      </c>
      <c r="F15" s="6" t="s">
        <v>66</v>
      </c>
      <c r="G15" s="7" t="s">
        <v>67</v>
      </c>
    </row>
    <row r="16" spans="1:12" x14ac:dyDescent="0.3">
      <c r="A16" s="3" t="s">
        <v>21</v>
      </c>
      <c r="F16" s="6" t="s">
        <v>68</v>
      </c>
      <c r="G16" s="7" t="s">
        <v>69</v>
      </c>
    </row>
    <row r="17" spans="1:7" x14ac:dyDescent="0.3">
      <c r="A17" s="3" t="s">
        <v>22</v>
      </c>
      <c r="F17" s="8" t="s">
        <v>70</v>
      </c>
      <c r="G17" s="8" t="s">
        <v>71</v>
      </c>
    </row>
    <row r="18" spans="1:7" x14ac:dyDescent="0.3">
      <c r="A18" s="3" t="s">
        <v>23</v>
      </c>
    </row>
    <row r="19" spans="1:7" x14ac:dyDescent="0.3">
      <c r="A19" s="3" t="s">
        <v>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F3D48-61CC-4F73-BD2E-99C58DC5D6AA}">
  <sheetPr codeName="Sheet1"/>
  <dimension ref="A1:W52"/>
  <sheetViews>
    <sheetView showGridLines="0" tabSelected="1" zoomScaleNormal="100" workbookViewId="0">
      <pane ySplit="1" topLeftCell="A2" activePane="bottomLeft" state="frozen"/>
      <selection pane="bottomLeft" activeCell="G19" sqref="G19"/>
    </sheetView>
  </sheetViews>
  <sheetFormatPr defaultColWidth="10.6640625" defaultRowHeight="14.4" x14ac:dyDescent="0.3"/>
  <cols>
    <col min="1" max="1" width="20.33203125" customWidth="1"/>
    <col min="2" max="2" width="12.6640625" customWidth="1"/>
    <col min="3" max="3" width="11.6640625" customWidth="1"/>
    <col min="4" max="4" width="14.21875" customWidth="1"/>
    <col min="5" max="5" width="10.44140625" customWidth="1"/>
    <col min="6" max="6" width="15.5546875" customWidth="1"/>
    <col min="9" max="9" width="17.21875" customWidth="1"/>
    <col min="10" max="10" width="30.44140625" style="1" customWidth="1"/>
    <col min="11" max="13" width="10.77734375" customWidth="1"/>
    <col min="14" max="14" width="14.33203125" customWidth="1"/>
    <col min="15" max="15" width="19.88671875" customWidth="1"/>
    <col min="16" max="16" width="8.109375" hidden="1" customWidth="1"/>
    <col min="17" max="18" width="9" hidden="1" customWidth="1"/>
    <col min="19" max="19" width="10.6640625" customWidth="1"/>
    <col min="20" max="20" width="7.109375" hidden="1" customWidth="1"/>
    <col min="21" max="22" width="10.6640625" customWidth="1"/>
    <col min="23" max="23" width="15.5546875" customWidth="1"/>
    <col min="24" max="24" width="3.109375" customWidth="1"/>
  </cols>
  <sheetData>
    <row r="1" spans="1:23" s="16" customFormat="1" ht="15.75" customHeight="1" x14ac:dyDescent="0.3">
      <c r="A1" s="17" t="s">
        <v>29</v>
      </c>
      <c r="B1" s="17" t="s">
        <v>42</v>
      </c>
      <c r="C1" s="20" t="str">
        <f>VLOOKUP(A1,Master!C2:D9,2,FALSE)&amp;""&amp;VLOOKUP(B1,Master!F2:G17,2,FALSE)</f>
        <v>&amp;index=2371</v>
      </c>
      <c r="D1" s="20" t="str">
        <f>VLOOKUP(B1,Master!F2:G17,2,FALSE)</f>
        <v>&amp;index=2371</v>
      </c>
      <c r="E1" s="18" t="s">
        <v>89</v>
      </c>
      <c r="O1"/>
      <c r="P1"/>
      <c r="Q1"/>
      <c r="R1"/>
      <c r="S1"/>
      <c r="T1"/>
      <c r="U1"/>
      <c r="V1"/>
      <c r="W1"/>
    </row>
    <row r="2" spans="1:23" x14ac:dyDescent="0.3">
      <c r="A2" s="23" t="s">
        <v>0</v>
      </c>
      <c r="B2" s="23" t="s">
        <v>4</v>
      </c>
      <c r="C2" s="23" t="s">
        <v>10</v>
      </c>
      <c r="D2" s="23" t="s">
        <v>7</v>
      </c>
      <c r="F2" t="s">
        <v>0</v>
      </c>
      <c r="G2" t="s">
        <v>4</v>
      </c>
      <c r="H2" t="s">
        <v>6</v>
      </c>
      <c r="I2" t="s">
        <v>7</v>
      </c>
      <c r="J2" t="s">
        <v>8</v>
      </c>
      <c r="K2" t="s">
        <v>2</v>
      </c>
      <c r="L2" t="s">
        <v>3</v>
      </c>
      <c r="M2" t="s">
        <v>1</v>
      </c>
    </row>
    <row r="3" spans="1:23" x14ac:dyDescent="0.3">
      <c r="A3" s="13" t="s">
        <v>94</v>
      </c>
      <c r="B3" s="14">
        <v>181.8</v>
      </c>
      <c r="C3" s="14">
        <v>5.94</v>
      </c>
      <c r="D3" s="14">
        <v>0.34</v>
      </c>
      <c r="E3" t="s">
        <v>9</v>
      </c>
      <c r="F3" s="13" t="s">
        <v>94</v>
      </c>
      <c r="G3" s="14">
        <v>181.8</v>
      </c>
      <c r="H3" s="14">
        <v>4.72</v>
      </c>
      <c r="I3" s="14">
        <v>0.34</v>
      </c>
      <c r="J3" s="19">
        <v>-6.8287353182190369E-3</v>
      </c>
      <c r="K3" s="14">
        <v>183.05</v>
      </c>
      <c r="L3" s="14">
        <v>167.2</v>
      </c>
      <c r="M3" s="14">
        <v>173</v>
      </c>
    </row>
    <row r="4" spans="1:23" x14ac:dyDescent="0.3">
      <c r="A4" s="11" t="s">
        <v>5</v>
      </c>
      <c r="B4" s="10">
        <v>51.15</v>
      </c>
      <c r="C4" s="10">
        <v>4.49</v>
      </c>
      <c r="D4" s="10">
        <v>53.64</v>
      </c>
      <c r="F4" s="11" t="s">
        <v>130</v>
      </c>
      <c r="G4" s="10">
        <v>25.25</v>
      </c>
      <c r="H4" s="10">
        <v>4.12</v>
      </c>
      <c r="I4" s="10">
        <v>1.31</v>
      </c>
      <c r="J4" s="12">
        <v>-3.2567049808429172E-2</v>
      </c>
      <c r="K4" s="10">
        <v>26.1</v>
      </c>
      <c r="L4" s="10">
        <v>24.4</v>
      </c>
      <c r="M4" s="10">
        <v>24.6</v>
      </c>
    </row>
    <row r="5" spans="1:23" x14ac:dyDescent="0.3">
      <c r="A5" s="11" t="s">
        <v>130</v>
      </c>
      <c r="B5" s="10">
        <v>25.25</v>
      </c>
      <c r="C5" s="10">
        <v>3.06</v>
      </c>
      <c r="D5" s="10">
        <v>1.31</v>
      </c>
      <c r="F5" s="11" t="s">
        <v>120</v>
      </c>
      <c r="G5" s="10">
        <v>29.75</v>
      </c>
      <c r="H5" s="10">
        <v>3.48</v>
      </c>
      <c r="I5" s="10">
        <v>0.96</v>
      </c>
      <c r="J5" s="12">
        <v>-2.6186579378068786E-2</v>
      </c>
      <c r="K5" s="10">
        <v>30.55</v>
      </c>
      <c r="L5" s="10">
        <v>29</v>
      </c>
      <c r="M5" s="10">
        <v>29</v>
      </c>
      <c r="O5" t="s">
        <v>9</v>
      </c>
    </row>
    <row r="6" spans="1:23" x14ac:dyDescent="0.3">
      <c r="A6" s="11" t="s">
        <v>107</v>
      </c>
      <c r="B6" s="10">
        <v>358</v>
      </c>
      <c r="C6" s="10">
        <v>3.02</v>
      </c>
      <c r="D6" s="10">
        <v>0.15</v>
      </c>
      <c r="F6" s="11" t="s">
        <v>115</v>
      </c>
      <c r="G6" s="10">
        <v>11.95</v>
      </c>
      <c r="H6" s="10">
        <v>3.46</v>
      </c>
      <c r="I6" s="10">
        <v>0.51</v>
      </c>
      <c r="J6" s="12">
        <v>-2.4489795918367419E-2</v>
      </c>
      <c r="K6" s="10">
        <v>12.25</v>
      </c>
      <c r="L6" s="10">
        <v>11.8</v>
      </c>
      <c r="M6" s="10">
        <v>11.9</v>
      </c>
    </row>
    <row r="7" spans="1:23" x14ac:dyDescent="0.3">
      <c r="A7" s="11" t="s">
        <v>95</v>
      </c>
      <c r="B7" s="10">
        <v>44.65</v>
      </c>
      <c r="C7" s="10">
        <v>2.41</v>
      </c>
      <c r="D7" s="10">
        <v>0.23</v>
      </c>
      <c r="F7" s="11" t="s">
        <v>122</v>
      </c>
      <c r="G7" s="10">
        <v>175</v>
      </c>
      <c r="H7" s="10">
        <v>3.46</v>
      </c>
      <c r="I7" s="10">
        <v>0.02</v>
      </c>
      <c r="J7" s="12">
        <v>-8.4985835694051381E-3</v>
      </c>
      <c r="K7" s="10">
        <v>176.5</v>
      </c>
      <c r="L7" s="10">
        <v>169.15</v>
      </c>
      <c r="M7" s="10">
        <v>169.15</v>
      </c>
    </row>
    <row r="8" spans="1:23" x14ac:dyDescent="0.3">
      <c r="A8" s="11" t="s">
        <v>146</v>
      </c>
      <c r="B8" s="10">
        <v>22538.85</v>
      </c>
      <c r="C8" s="10">
        <v>2.2599999999999998</v>
      </c>
      <c r="D8" s="10">
        <v>0.01</v>
      </c>
      <c r="F8" s="11" t="s">
        <v>116</v>
      </c>
      <c r="G8" s="10">
        <v>62.15</v>
      </c>
      <c r="H8" s="10">
        <v>3.24</v>
      </c>
      <c r="I8" s="10">
        <v>0.28000000000000003</v>
      </c>
      <c r="J8" s="12">
        <v>-8.7719298245614308E-3</v>
      </c>
      <c r="K8" s="10">
        <v>62.7</v>
      </c>
      <c r="L8" s="10">
        <v>61</v>
      </c>
      <c r="M8" s="10">
        <v>61</v>
      </c>
    </row>
    <row r="9" spans="1:23" x14ac:dyDescent="0.3">
      <c r="A9" s="11" t="s">
        <v>138</v>
      </c>
      <c r="B9" s="10">
        <v>213.75</v>
      </c>
      <c r="C9" s="10">
        <v>2.15</v>
      </c>
      <c r="D9" s="10">
        <v>0.01</v>
      </c>
      <c r="F9" s="11" t="s">
        <v>100</v>
      </c>
      <c r="G9" s="10">
        <v>174.3</v>
      </c>
      <c r="H9" s="10">
        <v>3.2</v>
      </c>
      <c r="I9" s="10">
        <v>0.28000000000000003</v>
      </c>
      <c r="J9" s="12">
        <v>-3.9999999999998925E-3</v>
      </c>
      <c r="K9" s="10">
        <v>175</v>
      </c>
      <c r="L9" s="10">
        <v>169.65</v>
      </c>
      <c r="M9" s="10">
        <v>170.6</v>
      </c>
    </row>
    <row r="10" spans="1:23" x14ac:dyDescent="0.3">
      <c r="A10" s="11" t="s">
        <v>133</v>
      </c>
      <c r="B10" s="10">
        <v>16.7</v>
      </c>
      <c r="C10" s="10">
        <v>2.14</v>
      </c>
      <c r="D10" s="10">
        <v>1.1599999999999999</v>
      </c>
      <c r="F10" s="11" t="s">
        <v>133</v>
      </c>
      <c r="G10" s="10">
        <v>16.7</v>
      </c>
      <c r="H10" s="10">
        <v>3.09</v>
      </c>
      <c r="I10" s="10">
        <v>1.1599999999999999</v>
      </c>
      <c r="J10" s="12">
        <v>-4.0229885057471271E-2</v>
      </c>
      <c r="K10" s="10">
        <v>17.399999999999999</v>
      </c>
      <c r="L10" s="10">
        <v>16.25</v>
      </c>
      <c r="M10" s="10">
        <v>16.3</v>
      </c>
    </row>
    <row r="11" spans="1:23" x14ac:dyDescent="0.3">
      <c r="A11" s="11" t="s">
        <v>113</v>
      </c>
      <c r="B11" s="10">
        <v>80.599999999999994</v>
      </c>
      <c r="C11" s="10">
        <v>2.0299999999999998</v>
      </c>
      <c r="D11" s="10">
        <v>0.01</v>
      </c>
      <c r="F11" s="11" t="s">
        <v>92</v>
      </c>
      <c r="G11" s="10">
        <v>108.25</v>
      </c>
      <c r="H11" s="10">
        <v>3.05</v>
      </c>
      <c r="I11" s="10">
        <v>1.07</v>
      </c>
      <c r="J11" s="12">
        <v>-1.5013648771610599E-2</v>
      </c>
      <c r="K11" s="10">
        <v>109.9</v>
      </c>
      <c r="L11" s="10">
        <v>105.4</v>
      </c>
      <c r="M11" s="10">
        <v>106.45</v>
      </c>
    </row>
    <row r="12" spans="1:23" x14ac:dyDescent="0.3">
      <c r="A12" s="11" t="s">
        <v>131</v>
      </c>
      <c r="B12" s="10">
        <v>19.100000000000001</v>
      </c>
      <c r="C12" s="10">
        <v>1.87</v>
      </c>
      <c r="D12" s="10">
        <v>0.6</v>
      </c>
      <c r="F12" s="11" t="s">
        <v>119</v>
      </c>
      <c r="G12" s="10">
        <v>17.600000000000001</v>
      </c>
      <c r="H12" s="10">
        <v>2.92</v>
      </c>
      <c r="I12" s="10">
        <v>0.48</v>
      </c>
      <c r="J12" s="12">
        <v>-2.4930747922437657E-2</v>
      </c>
      <c r="K12" s="10">
        <v>18.05</v>
      </c>
      <c r="L12" s="10">
        <v>17.2</v>
      </c>
      <c r="M12" s="10">
        <v>17.2</v>
      </c>
    </row>
    <row r="13" spans="1:23" x14ac:dyDescent="0.3">
      <c r="A13" s="11" t="s">
        <v>139</v>
      </c>
      <c r="B13" s="10">
        <v>88.2</v>
      </c>
      <c r="C13" s="10">
        <v>-2.4900000000000002</v>
      </c>
      <c r="D13" s="10">
        <v>0</v>
      </c>
      <c r="F13" s="11" t="s">
        <v>108</v>
      </c>
      <c r="G13" s="10">
        <v>94.5</v>
      </c>
      <c r="H13" s="10">
        <v>2.83</v>
      </c>
      <c r="I13" s="10">
        <v>0.81</v>
      </c>
      <c r="J13" s="12">
        <v>-1.9709543568464771E-2</v>
      </c>
      <c r="K13" s="10">
        <v>96.4</v>
      </c>
      <c r="L13" s="10">
        <v>94.3</v>
      </c>
      <c r="M13" s="10">
        <v>96.4</v>
      </c>
    </row>
    <row r="14" spans="1:23" x14ac:dyDescent="0.3">
      <c r="A14" s="11" t="s">
        <v>98</v>
      </c>
      <c r="B14" s="10">
        <v>370</v>
      </c>
      <c r="C14" s="10">
        <v>-1.86</v>
      </c>
      <c r="D14" s="10">
        <v>0.05</v>
      </c>
      <c r="F14" s="11" t="s">
        <v>107</v>
      </c>
      <c r="G14" s="10">
        <v>358</v>
      </c>
      <c r="H14" s="10">
        <v>2.83</v>
      </c>
      <c r="I14" s="10">
        <v>0.15</v>
      </c>
      <c r="J14" s="12">
        <v>-1.0503040353786686E-2</v>
      </c>
      <c r="K14" s="10">
        <v>361.8</v>
      </c>
      <c r="L14" s="10">
        <v>345.85</v>
      </c>
      <c r="M14" s="10">
        <v>348.6</v>
      </c>
    </row>
    <row r="15" spans="1:23" x14ac:dyDescent="0.3">
      <c r="A15" s="11" t="s">
        <v>121</v>
      </c>
      <c r="B15" s="10">
        <v>2082</v>
      </c>
      <c r="C15" s="10">
        <v>-1.78</v>
      </c>
      <c r="D15" s="10">
        <v>0</v>
      </c>
      <c r="F15" s="11" t="s">
        <v>123</v>
      </c>
      <c r="G15" s="10">
        <v>258.89999999999998</v>
      </c>
      <c r="H15" s="10">
        <v>2.82</v>
      </c>
      <c r="I15" s="10">
        <v>2.83</v>
      </c>
      <c r="J15" s="12">
        <v>-2.3121387283238093E-3</v>
      </c>
      <c r="K15" s="10">
        <v>259.5</v>
      </c>
      <c r="L15" s="10">
        <v>251.85</v>
      </c>
      <c r="M15" s="10">
        <v>251.85</v>
      </c>
    </row>
    <row r="16" spans="1:23" x14ac:dyDescent="0.3">
      <c r="A16" s="11" t="s">
        <v>106</v>
      </c>
      <c r="B16" s="10">
        <v>48</v>
      </c>
      <c r="C16" s="10">
        <v>-1.54</v>
      </c>
      <c r="D16" s="10">
        <v>0.03</v>
      </c>
      <c r="F16" s="11" t="s">
        <v>131</v>
      </c>
      <c r="G16" s="10">
        <v>19.100000000000001</v>
      </c>
      <c r="H16" s="10">
        <v>2.69</v>
      </c>
      <c r="I16" s="10">
        <v>0.6</v>
      </c>
      <c r="J16" s="12">
        <v>-1.7994858611825038E-2</v>
      </c>
      <c r="K16" s="10">
        <v>19.45</v>
      </c>
      <c r="L16" s="10">
        <v>18.7</v>
      </c>
      <c r="M16" s="10">
        <v>18.7</v>
      </c>
    </row>
    <row r="17" spans="1:13" x14ac:dyDescent="0.3">
      <c r="A17" s="11" t="s">
        <v>132</v>
      </c>
      <c r="B17" s="10">
        <v>38.1</v>
      </c>
      <c r="C17" s="10">
        <v>-1.42</v>
      </c>
      <c r="D17" s="10">
        <v>0</v>
      </c>
      <c r="F17" s="11" t="s">
        <v>5</v>
      </c>
      <c r="G17" s="10">
        <v>51.15</v>
      </c>
      <c r="H17" s="10">
        <v>2.5099999999999998</v>
      </c>
      <c r="I17" s="10">
        <v>53.64</v>
      </c>
      <c r="J17" s="12">
        <v>-1.2548262548262468E-2</v>
      </c>
      <c r="K17" s="10">
        <v>51.8</v>
      </c>
      <c r="L17" s="10">
        <v>48.3</v>
      </c>
      <c r="M17" s="10">
        <v>49.5</v>
      </c>
    </row>
    <row r="18" spans="1:13" x14ac:dyDescent="0.3">
      <c r="A18" s="11" t="s">
        <v>93</v>
      </c>
      <c r="B18" s="10">
        <v>7.15</v>
      </c>
      <c r="C18" s="10">
        <v>-1.38</v>
      </c>
      <c r="D18" s="10">
        <v>1.07</v>
      </c>
      <c r="F18" s="11" t="s">
        <v>146</v>
      </c>
      <c r="G18" s="10">
        <v>22538.85</v>
      </c>
      <c r="H18" s="10">
        <v>2.37</v>
      </c>
      <c r="I18" s="10">
        <v>0.01</v>
      </c>
      <c r="J18" s="12">
        <v>-3.2019459339931444E-3</v>
      </c>
      <c r="K18" s="10">
        <v>22611.25</v>
      </c>
      <c r="L18" s="10">
        <v>21950</v>
      </c>
      <c r="M18" s="10">
        <v>21970</v>
      </c>
    </row>
    <row r="19" spans="1:13" x14ac:dyDescent="0.3">
      <c r="A19" s="11" t="s">
        <v>111</v>
      </c>
      <c r="B19" s="10">
        <v>326.8</v>
      </c>
      <c r="C19" s="10">
        <v>-1.33</v>
      </c>
      <c r="D19" s="10">
        <v>0.01</v>
      </c>
      <c r="F19" s="11" t="s">
        <v>124</v>
      </c>
      <c r="G19" s="10">
        <v>54.15</v>
      </c>
      <c r="H19" s="10">
        <v>2.17</v>
      </c>
      <c r="I19" s="10">
        <v>0.23</v>
      </c>
      <c r="J19" s="12">
        <v>-8.2417582417583235E-3</v>
      </c>
      <c r="K19" s="10">
        <v>54.6</v>
      </c>
      <c r="L19" s="10">
        <v>53.05</v>
      </c>
      <c r="M19" s="10">
        <v>53.05</v>
      </c>
    </row>
    <row r="20" spans="1:13" x14ac:dyDescent="0.3">
      <c r="A20" s="11" t="s">
        <v>141</v>
      </c>
      <c r="B20" s="10">
        <v>74.2</v>
      </c>
      <c r="C20" s="10">
        <v>-1.33</v>
      </c>
      <c r="D20" s="10">
        <v>0.94</v>
      </c>
      <c r="F20" s="11" t="s">
        <v>113</v>
      </c>
      <c r="G20" s="10">
        <v>80.599999999999994</v>
      </c>
      <c r="H20" s="10">
        <v>2.15</v>
      </c>
      <c r="I20" s="10">
        <v>0.01</v>
      </c>
      <c r="J20" s="12">
        <v>-2.4752475247524774E-3</v>
      </c>
      <c r="K20" s="10">
        <v>80.8</v>
      </c>
      <c r="L20" s="10">
        <v>79</v>
      </c>
      <c r="M20" s="10">
        <v>79.3</v>
      </c>
    </row>
    <row r="21" spans="1:13" x14ac:dyDescent="0.3">
      <c r="A21" s="11" t="s">
        <v>112</v>
      </c>
      <c r="B21" s="10">
        <v>147.75</v>
      </c>
      <c r="C21" s="10">
        <v>-1.27</v>
      </c>
      <c r="D21" s="10">
        <v>2.41</v>
      </c>
      <c r="F21" s="11" t="s">
        <v>117</v>
      </c>
      <c r="G21" s="10">
        <v>24.05</v>
      </c>
      <c r="H21" s="10">
        <v>2.12</v>
      </c>
      <c r="I21" s="10">
        <v>0.11</v>
      </c>
      <c r="J21" s="12">
        <v>-1.2320328542094527E-2</v>
      </c>
      <c r="K21" s="10">
        <v>24.35</v>
      </c>
      <c r="L21" s="10">
        <v>23.55</v>
      </c>
      <c r="M21" s="10">
        <v>23.6</v>
      </c>
    </row>
    <row r="22" spans="1:13" x14ac:dyDescent="0.3">
      <c r="A22" s="24" t="s">
        <v>115</v>
      </c>
      <c r="B22" s="25">
        <v>11.95</v>
      </c>
      <c r="C22" s="25">
        <v>-1.24</v>
      </c>
      <c r="D22" s="25">
        <v>0.51</v>
      </c>
      <c r="F22" s="11" t="s">
        <v>118</v>
      </c>
      <c r="G22" s="10">
        <v>257.55</v>
      </c>
      <c r="H22" s="10">
        <v>2.06</v>
      </c>
      <c r="I22" s="10">
        <v>0.08</v>
      </c>
      <c r="J22" s="12">
        <v>-2.0722433460075962E-2</v>
      </c>
      <c r="K22" s="10">
        <v>263</v>
      </c>
      <c r="L22" s="10">
        <v>253.85</v>
      </c>
      <c r="M22" s="10">
        <v>254</v>
      </c>
    </row>
    <row r="23" spans="1:13" x14ac:dyDescent="0.3">
      <c r="F23" s="11" t="s">
        <v>147</v>
      </c>
      <c r="G23" s="10">
        <v>207.85</v>
      </c>
      <c r="H23" s="10">
        <v>1.99</v>
      </c>
      <c r="I23" s="10">
        <v>0.04</v>
      </c>
      <c r="J23" s="12">
        <v>-2.6391554702496212E-3</v>
      </c>
      <c r="K23" s="10">
        <v>208.4</v>
      </c>
      <c r="L23" s="10">
        <v>203.85</v>
      </c>
      <c r="M23" s="10">
        <v>204</v>
      </c>
    </row>
    <row r="24" spans="1:13" x14ac:dyDescent="0.3">
      <c r="F24" s="11" t="s">
        <v>97</v>
      </c>
      <c r="G24" s="10">
        <v>1919.9</v>
      </c>
      <c r="H24" s="10">
        <v>1.98</v>
      </c>
      <c r="I24" s="10">
        <v>0</v>
      </c>
      <c r="J24" s="12">
        <v>-8.3268279989590077E-4</v>
      </c>
      <c r="K24" s="10">
        <v>1921.5</v>
      </c>
      <c r="L24" s="10">
        <v>1865</v>
      </c>
      <c r="M24" s="10">
        <v>1865</v>
      </c>
    </row>
    <row r="25" spans="1:13" x14ac:dyDescent="0.3">
      <c r="F25" s="11" t="s">
        <v>128</v>
      </c>
      <c r="G25" s="10">
        <v>425.05</v>
      </c>
      <c r="H25" s="10">
        <v>1.89</v>
      </c>
      <c r="I25" s="10">
        <v>0</v>
      </c>
      <c r="J25" s="12">
        <v>-2.6982637259501674E-3</v>
      </c>
      <c r="K25" s="10">
        <v>426.2</v>
      </c>
      <c r="L25" s="10">
        <v>418</v>
      </c>
      <c r="M25" s="10">
        <v>418</v>
      </c>
    </row>
    <row r="26" spans="1:13" x14ac:dyDescent="0.3">
      <c r="F26" s="11" t="s">
        <v>134</v>
      </c>
      <c r="G26" s="10">
        <v>100.4</v>
      </c>
      <c r="H26" s="10">
        <v>1.88</v>
      </c>
      <c r="I26" s="10">
        <v>4.8</v>
      </c>
      <c r="J26" s="12">
        <v>-3.9682539682538431E-3</v>
      </c>
      <c r="K26" s="10">
        <v>100.8</v>
      </c>
      <c r="L26" s="10">
        <v>99</v>
      </c>
      <c r="M26" s="10">
        <v>99.05</v>
      </c>
    </row>
    <row r="27" spans="1:13" x14ac:dyDescent="0.3">
      <c r="F27" s="11" t="s">
        <v>145</v>
      </c>
      <c r="G27" s="10">
        <v>339.2</v>
      </c>
      <c r="H27" s="10">
        <v>1.85</v>
      </c>
      <c r="I27" s="10">
        <v>0.72</v>
      </c>
      <c r="J27" s="12">
        <v>-6.1529446234984686E-3</v>
      </c>
      <c r="K27" s="10">
        <v>341.3</v>
      </c>
      <c r="L27" s="10">
        <v>331.8</v>
      </c>
      <c r="M27" s="10">
        <v>333.05</v>
      </c>
    </row>
    <row r="28" spans="1:13" x14ac:dyDescent="0.3">
      <c r="F28" s="11" t="s">
        <v>102</v>
      </c>
      <c r="G28" s="10">
        <v>136.30000000000001</v>
      </c>
      <c r="H28" s="10">
        <v>-0.94</v>
      </c>
      <c r="I28" s="10">
        <v>0.02</v>
      </c>
      <c r="J28" s="12">
        <v>7.3421439060217253E-4</v>
      </c>
      <c r="K28" s="10">
        <v>137.69999999999999</v>
      </c>
      <c r="L28" s="10">
        <v>136.19999999999999</v>
      </c>
      <c r="M28" s="10">
        <v>137.19999999999999</v>
      </c>
    </row>
    <row r="29" spans="1:13" x14ac:dyDescent="0.3">
      <c r="F29" s="11" t="s">
        <v>105</v>
      </c>
      <c r="G29" s="10">
        <v>19.350000000000001</v>
      </c>
      <c r="H29" s="10">
        <v>-1.02</v>
      </c>
      <c r="I29" s="10">
        <v>0.09</v>
      </c>
      <c r="J29" s="12">
        <v>7.812500000000222E-3</v>
      </c>
      <c r="K29" s="10">
        <v>19.600000000000001</v>
      </c>
      <c r="L29" s="10">
        <v>19.2</v>
      </c>
      <c r="M29" s="10">
        <v>19.399999999999999</v>
      </c>
    </row>
    <row r="30" spans="1:13" x14ac:dyDescent="0.3">
      <c r="F30" s="11" t="s">
        <v>114</v>
      </c>
      <c r="G30" s="10">
        <v>132.15</v>
      </c>
      <c r="H30" s="10">
        <v>-1.05</v>
      </c>
      <c r="I30" s="10">
        <v>0</v>
      </c>
      <c r="J30" s="12">
        <v>3.7850113550352837E-4</v>
      </c>
      <c r="K30" s="10">
        <v>133.5</v>
      </c>
      <c r="L30" s="10">
        <v>132.1</v>
      </c>
      <c r="M30" s="10">
        <v>132.5</v>
      </c>
    </row>
    <row r="31" spans="1:13" x14ac:dyDescent="0.3">
      <c r="F31" s="11" t="s">
        <v>112</v>
      </c>
      <c r="G31" s="10">
        <v>147.75</v>
      </c>
      <c r="H31" s="10">
        <v>-1.07</v>
      </c>
      <c r="I31" s="10">
        <v>2.41</v>
      </c>
      <c r="J31" s="12">
        <v>1.3554727211113615E-3</v>
      </c>
      <c r="K31" s="10">
        <v>150.5</v>
      </c>
      <c r="L31" s="10">
        <v>147.55000000000001</v>
      </c>
      <c r="M31" s="10">
        <v>149.80000000000001</v>
      </c>
    </row>
    <row r="32" spans="1:13" x14ac:dyDescent="0.3">
      <c r="F32" s="11" t="s">
        <v>144</v>
      </c>
      <c r="G32" s="10">
        <v>35.799999999999997</v>
      </c>
      <c r="H32" s="10">
        <v>-1.1000000000000001</v>
      </c>
      <c r="I32" s="10">
        <v>0.06</v>
      </c>
      <c r="J32" s="12">
        <v>0</v>
      </c>
      <c r="K32" s="10">
        <v>36.15</v>
      </c>
      <c r="L32" s="10">
        <v>35.799999999999997</v>
      </c>
      <c r="M32" s="10">
        <v>36.1</v>
      </c>
    </row>
    <row r="33" spans="6:13" x14ac:dyDescent="0.3">
      <c r="F33" s="11" t="s">
        <v>135</v>
      </c>
      <c r="G33" s="10">
        <v>1807.95</v>
      </c>
      <c r="H33" s="10">
        <v>-1.1499999999999999</v>
      </c>
      <c r="I33" s="10">
        <v>0.09</v>
      </c>
      <c r="J33" s="12">
        <v>1.3292348591842362E-3</v>
      </c>
      <c r="K33" s="10">
        <v>1834</v>
      </c>
      <c r="L33" s="10">
        <v>1805.55</v>
      </c>
      <c r="M33" s="10">
        <v>1834</v>
      </c>
    </row>
    <row r="34" spans="6:13" x14ac:dyDescent="0.3">
      <c r="F34" s="11" t="s">
        <v>129</v>
      </c>
      <c r="G34" s="10">
        <v>68.7</v>
      </c>
      <c r="H34" s="10">
        <v>-1.1499999999999999</v>
      </c>
      <c r="I34" s="10">
        <v>0.01</v>
      </c>
      <c r="J34" s="12">
        <v>1.477104874446078E-2</v>
      </c>
      <c r="K34" s="10">
        <v>69.5</v>
      </c>
      <c r="L34" s="10">
        <v>67.7</v>
      </c>
      <c r="M34" s="10">
        <v>69.5</v>
      </c>
    </row>
    <row r="35" spans="6:13" x14ac:dyDescent="0.3">
      <c r="F35" s="11" t="s">
        <v>140</v>
      </c>
      <c r="G35" s="10">
        <v>215.05</v>
      </c>
      <c r="H35" s="10">
        <v>-1.22</v>
      </c>
      <c r="I35" s="10">
        <v>0</v>
      </c>
      <c r="J35" s="12">
        <v>7.7319587628865705E-3</v>
      </c>
      <c r="K35" s="10">
        <v>217.7</v>
      </c>
      <c r="L35" s="10">
        <v>213.4</v>
      </c>
      <c r="M35" s="10">
        <v>217.7</v>
      </c>
    </row>
    <row r="36" spans="6:13" x14ac:dyDescent="0.3">
      <c r="F36" s="11" t="s">
        <v>137</v>
      </c>
      <c r="G36" s="10">
        <v>352.8</v>
      </c>
      <c r="H36" s="10">
        <v>-1.23</v>
      </c>
      <c r="I36" s="10">
        <v>0</v>
      </c>
      <c r="J36" s="12">
        <v>0</v>
      </c>
      <c r="K36" s="10">
        <v>355.6</v>
      </c>
      <c r="L36" s="10">
        <v>352.8</v>
      </c>
      <c r="M36" s="10">
        <v>355.6</v>
      </c>
    </row>
    <row r="37" spans="6:13" x14ac:dyDescent="0.3">
      <c r="F37" s="11" t="s">
        <v>143</v>
      </c>
      <c r="G37" s="10">
        <v>127.1</v>
      </c>
      <c r="H37" s="10">
        <v>-1.24</v>
      </c>
      <c r="I37" s="10">
        <v>0.11</v>
      </c>
      <c r="J37" s="12">
        <v>2.7613412228797429E-3</v>
      </c>
      <c r="K37" s="10">
        <v>128.65</v>
      </c>
      <c r="L37" s="10">
        <v>126.75</v>
      </c>
      <c r="M37" s="10">
        <v>128.55000000000001</v>
      </c>
    </row>
    <row r="38" spans="6:13" x14ac:dyDescent="0.3">
      <c r="F38" s="11" t="s">
        <v>136</v>
      </c>
      <c r="G38" s="10">
        <v>1311.05</v>
      </c>
      <c r="H38" s="10">
        <v>-1.24</v>
      </c>
      <c r="I38" s="10">
        <v>0</v>
      </c>
      <c r="J38" s="12">
        <v>6.2552766904595547E-3</v>
      </c>
      <c r="K38" s="10">
        <v>1319.8</v>
      </c>
      <c r="L38" s="10">
        <v>1302.9000000000001</v>
      </c>
      <c r="M38" s="10">
        <v>1318.3</v>
      </c>
    </row>
    <row r="39" spans="6:13" x14ac:dyDescent="0.3">
      <c r="F39" s="11" t="s">
        <v>93</v>
      </c>
      <c r="G39" s="10">
        <v>7.15</v>
      </c>
      <c r="H39" s="10">
        <v>-1.38</v>
      </c>
      <c r="I39" s="10">
        <v>1.07</v>
      </c>
      <c r="J39" s="12">
        <v>0</v>
      </c>
      <c r="K39" s="10">
        <v>7.35</v>
      </c>
      <c r="L39" s="10">
        <v>7.15</v>
      </c>
      <c r="M39" s="10">
        <v>7.35</v>
      </c>
    </row>
    <row r="40" spans="6:13" x14ac:dyDescent="0.3">
      <c r="F40" s="11" t="s">
        <v>132</v>
      </c>
      <c r="G40" s="10">
        <v>38.1</v>
      </c>
      <c r="H40" s="10">
        <v>-1.42</v>
      </c>
      <c r="I40" s="10">
        <v>0</v>
      </c>
      <c r="J40" s="12">
        <v>3.9525691699604515E-3</v>
      </c>
      <c r="K40" s="10">
        <v>38.25</v>
      </c>
      <c r="L40" s="10">
        <v>37.950000000000003</v>
      </c>
      <c r="M40" s="10">
        <v>38.25</v>
      </c>
    </row>
    <row r="41" spans="6:13" x14ac:dyDescent="0.3">
      <c r="F41" s="11" t="s">
        <v>142</v>
      </c>
      <c r="G41" s="10">
        <v>160.9</v>
      </c>
      <c r="H41" s="10">
        <v>-1.47</v>
      </c>
      <c r="I41" s="10">
        <v>0.01</v>
      </c>
      <c r="J41" s="12">
        <v>2.4922118380061864E-3</v>
      </c>
      <c r="K41" s="10">
        <v>163.55000000000001</v>
      </c>
      <c r="L41" s="10">
        <v>160.5</v>
      </c>
      <c r="M41" s="10">
        <v>162.05000000000001</v>
      </c>
    </row>
    <row r="42" spans="6:13" x14ac:dyDescent="0.3">
      <c r="F42" s="11" t="s">
        <v>125</v>
      </c>
      <c r="G42" s="10">
        <v>142.80000000000001</v>
      </c>
      <c r="H42" s="10">
        <v>-1.52</v>
      </c>
      <c r="I42" s="10">
        <v>0.04</v>
      </c>
      <c r="J42" s="12">
        <v>5.6338028169014009E-3</v>
      </c>
      <c r="K42" s="10">
        <v>144.85</v>
      </c>
      <c r="L42" s="10">
        <v>142</v>
      </c>
      <c r="M42" s="10">
        <v>144.35</v>
      </c>
    </row>
    <row r="43" spans="6:13" x14ac:dyDescent="0.3">
      <c r="F43" s="11" t="s">
        <v>104</v>
      </c>
      <c r="G43" s="10">
        <v>15.9</v>
      </c>
      <c r="H43" s="10">
        <v>-1.55</v>
      </c>
      <c r="I43" s="10">
        <v>0.45</v>
      </c>
      <c r="J43" s="12">
        <v>3.2467532467532534E-2</v>
      </c>
      <c r="K43" s="10">
        <v>16.45</v>
      </c>
      <c r="L43" s="10">
        <v>15.4</v>
      </c>
      <c r="M43" s="10">
        <v>16.350000000000001</v>
      </c>
    </row>
    <row r="44" spans="6:13" x14ac:dyDescent="0.3">
      <c r="F44" s="11" t="s">
        <v>127</v>
      </c>
      <c r="G44" s="10">
        <v>57.45</v>
      </c>
      <c r="H44" s="10">
        <v>-1.63</v>
      </c>
      <c r="I44" s="10">
        <v>0.12</v>
      </c>
      <c r="J44" s="12">
        <v>7.0113935144611172E-3</v>
      </c>
      <c r="K44" s="10">
        <v>58.35</v>
      </c>
      <c r="L44" s="10">
        <v>57.05</v>
      </c>
      <c r="M44" s="10">
        <v>58.2</v>
      </c>
    </row>
    <row r="45" spans="6:13" x14ac:dyDescent="0.3">
      <c r="F45" s="11" t="s">
        <v>96</v>
      </c>
      <c r="G45" s="10">
        <v>93</v>
      </c>
      <c r="H45" s="10">
        <v>-1.69</v>
      </c>
      <c r="I45" s="10">
        <v>0.18</v>
      </c>
      <c r="J45" s="12">
        <v>4.3196544276458138E-3</v>
      </c>
      <c r="K45" s="10">
        <v>93.95</v>
      </c>
      <c r="L45" s="10">
        <v>92.6</v>
      </c>
      <c r="M45" s="10">
        <v>93.35</v>
      </c>
    </row>
    <row r="46" spans="6:13" x14ac:dyDescent="0.3">
      <c r="F46" s="11" t="s">
        <v>99</v>
      </c>
      <c r="G46" s="10">
        <v>268.7</v>
      </c>
      <c r="H46" s="10">
        <v>-2.27</v>
      </c>
      <c r="I46" s="10">
        <v>0.1</v>
      </c>
      <c r="J46" s="12">
        <v>1.2624835123421718E-2</v>
      </c>
      <c r="K46" s="10">
        <v>272.95</v>
      </c>
      <c r="L46" s="10">
        <v>265.35000000000002</v>
      </c>
      <c r="M46" s="10">
        <v>269</v>
      </c>
    </row>
    <row r="47" spans="6:13" x14ac:dyDescent="0.3">
      <c r="F47" s="11" t="s">
        <v>101</v>
      </c>
      <c r="G47" s="10">
        <v>6.45</v>
      </c>
      <c r="H47" s="10">
        <v>-2.27</v>
      </c>
      <c r="I47" s="10">
        <v>44.11</v>
      </c>
      <c r="J47" s="12">
        <v>3.2000000000000028E-2</v>
      </c>
      <c r="K47" s="10">
        <v>6.55</v>
      </c>
      <c r="L47" s="10">
        <v>6.25</v>
      </c>
      <c r="M47" s="10">
        <v>6.4</v>
      </c>
    </row>
    <row r="48" spans="6:13" x14ac:dyDescent="0.3">
      <c r="F48" s="11" t="s">
        <v>139</v>
      </c>
      <c r="G48" s="10">
        <v>88.2</v>
      </c>
      <c r="H48" s="10">
        <v>-2.33</v>
      </c>
      <c r="I48" s="10">
        <v>0</v>
      </c>
      <c r="J48" s="12">
        <v>0</v>
      </c>
      <c r="K48" s="10">
        <v>90.5</v>
      </c>
      <c r="L48" s="10">
        <v>88.2</v>
      </c>
      <c r="M48" s="10">
        <v>90.5</v>
      </c>
    </row>
    <row r="49" spans="6:13" x14ac:dyDescent="0.3">
      <c r="F49" s="11" t="s">
        <v>110</v>
      </c>
      <c r="G49" s="10">
        <v>113.35</v>
      </c>
      <c r="H49" s="10">
        <v>-2.54</v>
      </c>
      <c r="I49" s="10">
        <v>0.08</v>
      </c>
      <c r="J49" s="12">
        <v>1.024955436720143E-2</v>
      </c>
      <c r="K49" s="10">
        <v>115.15</v>
      </c>
      <c r="L49" s="10">
        <v>112.2</v>
      </c>
      <c r="M49" s="10">
        <v>115.05</v>
      </c>
    </row>
    <row r="50" spans="6:13" x14ac:dyDescent="0.3">
      <c r="F50" s="11" t="s">
        <v>126</v>
      </c>
      <c r="G50" s="10">
        <v>43.3</v>
      </c>
      <c r="H50" s="10">
        <v>-2.59</v>
      </c>
      <c r="I50" s="10">
        <v>5.34</v>
      </c>
      <c r="J50" s="12">
        <v>2.3148148148146586E-3</v>
      </c>
      <c r="K50" s="10">
        <v>43.7</v>
      </c>
      <c r="L50" s="10">
        <v>43.2</v>
      </c>
      <c r="M50" s="10">
        <v>43.4</v>
      </c>
    </row>
    <row r="51" spans="6:13" x14ac:dyDescent="0.3">
      <c r="F51" s="11" t="s">
        <v>109</v>
      </c>
      <c r="G51" s="10">
        <v>1.5</v>
      </c>
      <c r="H51" s="10">
        <v>-3.23</v>
      </c>
      <c r="I51" s="10">
        <v>0.08</v>
      </c>
      <c r="J51" s="12">
        <v>0</v>
      </c>
      <c r="K51" s="10">
        <v>1.5</v>
      </c>
      <c r="L51" s="10">
        <v>1.5</v>
      </c>
      <c r="M51" s="10">
        <v>1.5</v>
      </c>
    </row>
    <row r="52" spans="6:13" x14ac:dyDescent="0.3">
      <c r="F52" s="24" t="s">
        <v>103</v>
      </c>
      <c r="G52" s="25">
        <v>42.1</v>
      </c>
      <c r="H52" s="25">
        <v>-4.97</v>
      </c>
      <c r="I52" s="25">
        <v>0.03</v>
      </c>
      <c r="J52" s="26">
        <v>0</v>
      </c>
      <c r="K52" s="25">
        <v>42.1</v>
      </c>
      <c r="L52" s="25">
        <v>42.1</v>
      </c>
      <c r="M52" s="25">
        <v>42.1</v>
      </c>
    </row>
  </sheetData>
  <conditionalFormatting sqref="B26:B2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3:J104857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{7BB89138-5D41-43A4-B573-9EC12E3F7C7C}</x14:id>
        </ext>
      </extLst>
    </cfRule>
  </conditionalFormatting>
  <conditionalFormatting sqref="H53:H1048576"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I53:I1048576">
    <cfRule type="top10" dxfId="15" priority="774" rank="10"/>
  </conditionalFormatting>
  <conditionalFormatting sqref="C3:C22">
    <cfRule type="colorScale" priority="2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D22">
    <cfRule type="top10" dxfId="14" priority="2259" rank="5"/>
  </conditionalFormatting>
  <conditionalFormatting sqref="H3:H52">
    <cfRule type="colorScale" priority="2260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I3:I52">
    <cfRule type="top10" dxfId="13" priority="2262" rank="10"/>
  </conditionalFormatting>
  <conditionalFormatting sqref="J3:J52">
    <cfRule type="dataBar" priority="2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{1CBB9972-9E9D-44CF-998C-A74249EF0F69}</x14:id>
        </ext>
      </extLst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B89138-5D41-43A4-B573-9EC12E3F7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theme="0"/>
            </x14:dataBar>
          </x14:cfRule>
          <xm:sqref>J53:J1048576</xm:sqref>
        </x14:conditionalFormatting>
        <x14:conditionalFormatting xmlns:xm="http://schemas.microsoft.com/office/excel/2006/main">
          <x14:cfRule type="dataBar" id="{1CBB9972-9E9D-44CF-998C-A74249EF0F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theme="0"/>
            </x14:dataBar>
          </x14:cfRule>
          <xm:sqref>J3:J52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799490-579F-482A-B713-AE514EB8A3D8}">
          <x14:formula1>
            <xm:f>Master!$C$2:$C$9</xm:f>
          </x14:formula1>
          <xm:sqref>A1</xm:sqref>
        </x14:dataValidation>
        <x14:dataValidation type="list" allowBlank="1" showInputMessage="1" showErrorMessage="1" xr:uid="{49CF3A95-8AF0-4EED-B6C5-F970D4CE7379}">
          <x14:formula1>
            <xm:f>Master!$F$2:$F$17</xm:f>
          </x14:formula1>
          <xm:sqref>B1</xm:sqref>
        </x14:dataValidation>
        <x14:dataValidation type="list" allowBlank="1" showInputMessage="1" showErrorMessage="1" xr:uid="{D854AA6A-BAC3-4424-9549-680140ABC29F}">
          <x14:formula1>
            <xm:f>Master!$K$2:$K$3</xm:f>
          </x14:formula1>
          <xm:sqref>E1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0B8E3F-830E-4BF5-9851-6061A837B2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Master</vt:lpstr>
      <vt:lpstr>Intraday</vt:lpstr>
      <vt:lpstr>Index_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Prabu, Sathiya</dc:creator>
  <cp:lastModifiedBy>Ronav</cp:lastModifiedBy>
  <dcterms:created xsi:type="dcterms:W3CDTF">2019-04-01T14:22:48Z</dcterms:created>
  <dcterms:modified xsi:type="dcterms:W3CDTF">2019-12-20T04:09:57Z</dcterms:modified>
</cp:coreProperties>
</file>